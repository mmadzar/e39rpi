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Mario\e39rpi\e39rpi\Documentation\"/>
    </mc:Choice>
  </mc:AlternateContent>
  <bookViews>
    <workbookView xWindow="0" yWindow="0" windowWidth="22725" windowHeight="8865" activeTab="6"/>
  </bookViews>
  <sheets>
    <sheet name="Ours" sheetId="1" r:id="rId1"/>
    <sheet name="Codes" sheetId="2" r:id="rId2"/>
    <sheet name="Format" sheetId="3" r:id="rId3"/>
    <sheet name="Radio Sends" sheetId="4" r:id="rId4"/>
    <sheet name="Misc" sheetId="5" r:id="rId5"/>
    <sheet name="E46 codes tested" sheetId="6" r:id="rId6"/>
    <sheet name="Calculations" sheetId="9" r:id="rId7"/>
    <sheet name="Wheel" sheetId="7" r:id="rId8"/>
    <sheet name="Nave coder" sheetId="8" r:id="rId9"/>
  </sheets>
  <calcPr calcId="152511"/>
</workbook>
</file>

<file path=xl/calcChain.xml><?xml version="1.0" encoding="utf-8"?>
<calcChain xmlns="http://schemas.openxmlformats.org/spreadsheetml/2006/main">
  <c r="F25" i="9" l="1"/>
  <c r="F34" i="9"/>
  <c r="R33" i="9"/>
  <c r="S33" i="9" s="1"/>
  <c r="M33" i="9"/>
  <c r="N33" i="9" s="1"/>
  <c r="R32" i="9"/>
  <c r="S32" i="9" s="1"/>
  <c r="M32" i="9"/>
  <c r="N32" i="9" s="1"/>
  <c r="R31" i="9"/>
  <c r="S31" i="9" s="1"/>
  <c r="M31" i="9"/>
  <c r="N31" i="9" s="1"/>
  <c r="R30" i="9"/>
  <c r="S30" i="9" s="1"/>
  <c r="M30" i="9"/>
  <c r="N30" i="9" s="1"/>
  <c r="R37" i="9"/>
  <c r="S37" i="9" s="1"/>
  <c r="M37" i="9"/>
  <c r="N37" i="9" s="1"/>
  <c r="R36" i="9"/>
  <c r="S36" i="9" s="1"/>
  <c r="M36" i="9"/>
  <c r="N36" i="9" s="1"/>
  <c r="R35" i="9"/>
  <c r="S35" i="9" s="1"/>
  <c r="M35" i="9"/>
  <c r="N35" i="9" s="1"/>
  <c r="R34" i="9"/>
  <c r="S34" i="9" s="1"/>
  <c r="M34" i="9"/>
  <c r="N34" i="9" s="1"/>
  <c r="G28" i="9"/>
  <c r="G27" i="9"/>
  <c r="R17" i="9"/>
  <c r="AI32" i="2"/>
  <c r="AI30" i="2"/>
  <c r="AI31" i="2"/>
  <c r="AI29" i="2"/>
  <c r="C11" i="9"/>
  <c r="H11" i="9" s="1"/>
  <c r="F26" i="9"/>
  <c r="C13" i="9"/>
  <c r="H13" i="9" s="1"/>
  <c r="C21" i="9"/>
  <c r="D21" i="9" s="1"/>
  <c r="C20" i="9"/>
  <c r="D20" i="9" s="1"/>
  <c r="C19" i="9"/>
  <c r="D19" i="9" s="1"/>
  <c r="C18" i="9"/>
  <c r="D18" i="9" s="1"/>
  <c r="C17" i="9"/>
  <c r="D17" i="9" s="1"/>
  <c r="C16" i="9"/>
  <c r="D16" i="9" s="1"/>
  <c r="C15" i="9"/>
  <c r="D15" i="9" s="1"/>
  <c r="C14" i="9"/>
  <c r="D14" i="9" s="1"/>
  <c r="C12" i="9"/>
  <c r="D12" i="9" s="1"/>
  <c r="C10" i="9"/>
  <c r="D10" i="9" s="1"/>
  <c r="F5" i="9"/>
  <c r="C5" i="9"/>
  <c r="D5" i="9" s="1"/>
  <c r="F4" i="9"/>
  <c r="C4" i="9"/>
  <c r="D4" i="9" s="1"/>
  <c r="F3" i="9"/>
  <c r="C3" i="9"/>
  <c r="D3" i="9" s="1"/>
  <c r="F2" i="9"/>
  <c r="C2" i="9"/>
  <c r="D2" i="9" s="1"/>
  <c r="AM15" i="2"/>
  <c r="AM14" i="2"/>
  <c r="AM13" i="2"/>
  <c r="AM12" i="2"/>
  <c r="AK24" i="2"/>
  <c r="AK20" i="2"/>
  <c r="AK16" i="2"/>
  <c r="AK12" i="2"/>
  <c r="AJ25" i="2"/>
  <c r="AK25" i="2" s="1"/>
  <c r="AJ24" i="2"/>
  <c r="AJ23" i="2"/>
  <c r="AK23" i="2" s="1"/>
  <c r="AJ22" i="2"/>
  <c r="AK22" i="2" s="1"/>
  <c r="AJ21" i="2"/>
  <c r="AK21" i="2" s="1"/>
  <c r="AJ20" i="2"/>
  <c r="AJ19" i="2"/>
  <c r="AK19" i="2" s="1"/>
  <c r="AJ18" i="2"/>
  <c r="AK18" i="2" s="1"/>
  <c r="AJ17" i="2"/>
  <c r="AK17" i="2" s="1"/>
  <c r="AJ16" i="2"/>
  <c r="AJ15" i="2"/>
  <c r="AK15" i="2" s="1"/>
  <c r="AJ14" i="2"/>
  <c r="AK14" i="2" s="1"/>
  <c r="AJ13" i="2"/>
  <c r="AK13" i="2" s="1"/>
  <c r="AJ12" i="2"/>
  <c r="B258" i="8"/>
  <c r="B257" i="8"/>
  <c r="B256" i="8"/>
  <c r="B255" i="8"/>
  <c r="B254" i="8"/>
  <c r="B253" i="8"/>
  <c r="B252" i="8"/>
  <c r="B251" i="8"/>
  <c r="B250" i="8"/>
  <c r="B249" i="8"/>
  <c r="B248" i="8"/>
  <c r="B247" i="8"/>
  <c r="B246" i="8"/>
  <c r="B245" i="8"/>
  <c r="B244" i="8"/>
  <c r="B243" i="8"/>
  <c r="B242" i="8"/>
  <c r="B241" i="8"/>
  <c r="B240" i="8"/>
  <c r="B239" i="8"/>
  <c r="B238"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G25" i="3"/>
  <c r="G3" i="3"/>
  <c r="E212" i="2"/>
  <c r="D212" i="2"/>
  <c r="E211" i="2"/>
  <c r="D211" i="2"/>
  <c r="E207" i="2"/>
  <c r="D207" i="2"/>
  <c r="E201" i="2"/>
  <c r="D201" i="2"/>
  <c r="E199" i="2"/>
  <c r="D199" i="2"/>
  <c r="E198" i="2"/>
  <c r="D198" i="2"/>
  <c r="E197" i="2"/>
  <c r="D197" i="2"/>
  <c r="E194" i="2"/>
  <c r="D194" i="2"/>
  <c r="E193" i="2"/>
  <c r="D193" i="2"/>
  <c r="E192" i="2"/>
  <c r="D192" i="2"/>
  <c r="E190" i="2"/>
  <c r="D190" i="2"/>
  <c r="E189" i="2"/>
  <c r="D189" i="2"/>
  <c r="E188" i="2"/>
  <c r="D188" i="2"/>
  <c r="G185" i="2"/>
  <c r="F185" i="2"/>
  <c r="E165" i="2"/>
  <c r="E164" i="2"/>
  <c r="E163" i="2"/>
  <c r="E162" i="2"/>
  <c r="R157" i="2"/>
  <c r="R154" i="2"/>
  <c r="E153" i="2"/>
  <c r="D153" i="2"/>
  <c r="E150" i="2"/>
  <c r="D150" i="2"/>
  <c r="E148" i="2"/>
  <c r="E147" i="2"/>
  <c r="E146" i="2"/>
  <c r="E145" i="2"/>
  <c r="E144" i="2"/>
  <c r="E143" i="2"/>
  <c r="E141" i="2"/>
  <c r="E140" i="2"/>
  <c r="E138" i="2"/>
  <c r="D138" i="2"/>
  <c r="E137" i="2"/>
  <c r="D137" i="2"/>
  <c r="E136" i="2"/>
  <c r="D136" i="2"/>
  <c r="E135" i="2"/>
  <c r="D135" i="2"/>
  <c r="E133" i="2"/>
  <c r="D133" i="2"/>
  <c r="E132" i="2"/>
  <c r="D132" i="2"/>
  <c r="E131" i="2"/>
  <c r="D131" i="2"/>
  <c r="E129" i="2"/>
  <c r="D129" i="2"/>
  <c r="E128" i="2"/>
  <c r="D128" i="2"/>
  <c r="E125" i="2"/>
  <c r="D125" i="2"/>
  <c r="E124" i="2"/>
  <c r="D124" i="2"/>
  <c r="E123" i="2"/>
  <c r="D123" i="2"/>
  <c r="E122" i="2"/>
  <c r="D122" i="2"/>
  <c r="E121" i="2"/>
  <c r="D121" i="2"/>
  <c r="E120" i="2"/>
  <c r="D120" i="2"/>
  <c r="E119" i="2"/>
  <c r="D119" i="2"/>
  <c r="E118" i="2"/>
  <c r="D118" i="2"/>
  <c r="E117" i="2"/>
  <c r="D117" i="2"/>
  <c r="E116" i="2"/>
  <c r="D116" i="2"/>
  <c r="E115" i="2"/>
  <c r="D115" i="2"/>
  <c r="E114" i="2"/>
  <c r="D114" i="2"/>
  <c r="E113" i="2"/>
  <c r="D113" i="2"/>
  <c r="E109" i="2"/>
  <c r="D109" i="2"/>
  <c r="E108" i="2"/>
  <c r="D108" i="2"/>
  <c r="E104" i="2"/>
  <c r="D104" i="2"/>
  <c r="E103" i="2"/>
  <c r="D103" i="2"/>
  <c r="E101" i="2"/>
  <c r="D101" i="2"/>
  <c r="E100" i="2"/>
  <c r="D100" i="2"/>
  <c r="E98" i="2"/>
  <c r="D98" i="2"/>
  <c r="E97" i="2"/>
  <c r="D97" i="2"/>
  <c r="E96" i="2"/>
  <c r="D96" i="2"/>
  <c r="E95" i="2"/>
  <c r="D95" i="2"/>
  <c r="E94" i="2"/>
  <c r="D94" i="2"/>
  <c r="E93" i="2"/>
  <c r="D93" i="2"/>
  <c r="E92" i="2"/>
  <c r="D92" i="2"/>
  <c r="E91" i="2"/>
  <c r="D91" i="2"/>
  <c r="E86" i="2"/>
  <c r="D86" i="2"/>
  <c r="E85" i="2"/>
  <c r="D85" i="2"/>
  <c r="E83" i="2"/>
  <c r="D83" i="2"/>
  <c r="E81" i="2"/>
  <c r="D81" i="2"/>
  <c r="E80" i="2"/>
  <c r="D80" i="2"/>
  <c r="E77" i="2"/>
  <c r="D77" i="2"/>
  <c r="E76" i="2"/>
  <c r="D76" i="2"/>
  <c r="E75" i="2"/>
  <c r="D75" i="2"/>
  <c r="E74" i="2"/>
  <c r="D74" i="2"/>
  <c r="E72" i="2"/>
  <c r="D72" i="2"/>
  <c r="E71" i="2"/>
  <c r="D71" i="2"/>
  <c r="E67" i="2"/>
  <c r="D67" i="2"/>
  <c r="E66" i="2"/>
  <c r="D66" i="2"/>
  <c r="E63" i="2"/>
  <c r="D63" i="2"/>
  <c r="E62" i="2"/>
  <c r="D62" i="2"/>
  <c r="E60" i="2"/>
  <c r="D60" i="2"/>
  <c r="E59" i="2"/>
  <c r="D59" i="2"/>
  <c r="E58" i="2"/>
  <c r="D58" i="2"/>
  <c r="E55" i="2"/>
  <c r="D55" i="2"/>
  <c r="E53" i="2"/>
  <c r="D53" i="2"/>
  <c r="E51" i="2"/>
  <c r="D51" i="2"/>
  <c r="E50" i="2"/>
  <c r="D50" i="2"/>
  <c r="E49" i="2"/>
  <c r="D49" i="2"/>
  <c r="E45" i="2"/>
  <c r="D45" i="2"/>
  <c r="E43" i="2"/>
  <c r="D43" i="2"/>
  <c r="E41" i="2"/>
  <c r="D41" i="2"/>
  <c r="E40" i="2"/>
  <c r="D40" i="2"/>
  <c r="E38" i="2"/>
  <c r="D38" i="2"/>
  <c r="E36" i="2"/>
  <c r="D36" i="2"/>
  <c r="E35" i="2"/>
  <c r="D35" i="2"/>
  <c r="E33" i="2"/>
  <c r="D33" i="2"/>
  <c r="E32" i="2"/>
  <c r="D32" i="2"/>
  <c r="E31" i="2"/>
  <c r="D31" i="2"/>
  <c r="E30" i="2"/>
  <c r="D30" i="2"/>
  <c r="E29" i="2"/>
  <c r="D29" i="2"/>
  <c r="E26" i="2"/>
  <c r="D26" i="2"/>
  <c r="E25" i="2"/>
  <c r="D25" i="2"/>
  <c r="E24" i="2"/>
  <c r="D24" i="2"/>
  <c r="E23" i="2"/>
  <c r="D23" i="2"/>
  <c r="E21" i="2"/>
  <c r="D21" i="2"/>
  <c r="E20" i="2"/>
  <c r="D20" i="2"/>
  <c r="E18" i="2"/>
  <c r="D18" i="2"/>
  <c r="E17" i="2"/>
  <c r="D17" i="2"/>
  <c r="E16" i="2"/>
  <c r="D16" i="2"/>
  <c r="E15" i="2"/>
  <c r="D15" i="2"/>
  <c r="E14" i="2"/>
  <c r="D14" i="2"/>
  <c r="E13" i="2"/>
  <c r="D13" i="2"/>
  <c r="E12" i="2"/>
  <c r="D12" i="2"/>
  <c r="E11" i="2"/>
  <c r="D11" i="2"/>
  <c r="E8" i="2"/>
  <c r="D8" i="2"/>
  <c r="E7" i="2"/>
  <c r="D7" i="2"/>
  <c r="E6" i="2"/>
  <c r="D6" i="2"/>
  <c r="E5" i="2"/>
  <c r="D5" i="2"/>
  <c r="E4" i="2"/>
  <c r="D4" i="2"/>
  <c r="E3" i="2"/>
  <c r="D3" i="2"/>
  <c r="U100" i="1"/>
  <c r="W99" i="1"/>
  <c r="W98" i="1"/>
  <c r="U97" i="1"/>
  <c r="U96" i="1"/>
  <c r="U95" i="1"/>
  <c r="U94" i="1"/>
  <c r="U93" i="1"/>
  <c r="W91" i="1"/>
  <c r="W90" i="1"/>
  <c r="W89" i="1"/>
  <c r="W88" i="1"/>
  <c r="W87" i="1"/>
  <c r="W86" i="1"/>
  <c r="W85" i="1"/>
  <c r="AB84" i="1"/>
  <c r="W84" i="1"/>
  <c r="AB83" i="1"/>
  <c r="W83" i="1"/>
  <c r="AB82" i="1"/>
  <c r="W82" i="1"/>
  <c r="AB81" i="1"/>
  <c r="W81" i="1"/>
  <c r="AB80" i="1"/>
  <c r="W80" i="1"/>
  <c r="AB79" i="1"/>
  <c r="W79" i="1"/>
  <c r="AB78" i="1"/>
  <c r="W78" i="1"/>
  <c r="AB77" i="1"/>
  <c r="W77" i="1"/>
  <c r="Z76" i="1"/>
  <c r="W76" i="1"/>
  <c r="Z75" i="1"/>
  <c r="W75" i="1"/>
  <c r="Z74" i="1"/>
  <c r="W74" i="1"/>
  <c r="Z73" i="1"/>
  <c r="W73" i="1"/>
  <c r="W72" i="1"/>
  <c r="AB71" i="1"/>
  <c r="W71" i="1"/>
  <c r="W70" i="1"/>
  <c r="W69" i="1"/>
  <c r="W68" i="1"/>
  <c r="U61" i="1"/>
  <c r="T61" i="1"/>
  <c r="S61" i="1"/>
  <c r="R61" i="1"/>
  <c r="U59" i="1"/>
  <c r="T59" i="1"/>
  <c r="S59" i="1"/>
  <c r="R59" i="1"/>
  <c r="U58" i="1"/>
  <c r="T58" i="1"/>
  <c r="S58" i="1"/>
  <c r="R58" i="1"/>
  <c r="U57" i="1"/>
  <c r="T57" i="1"/>
  <c r="S57" i="1"/>
  <c r="R57" i="1"/>
  <c r="U56" i="1"/>
  <c r="T56" i="1"/>
  <c r="S56" i="1"/>
  <c r="R56" i="1"/>
  <c r="U55" i="1"/>
  <c r="T55" i="1"/>
  <c r="S55" i="1"/>
  <c r="R55" i="1"/>
  <c r="U54" i="1"/>
  <c r="T54" i="1"/>
  <c r="S54" i="1"/>
  <c r="R54" i="1"/>
  <c r="E54" i="1"/>
  <c r="D54" i="1"/>
  <c r="U53" i="1"/>
  <c r="T53" i="1"/>
  <c r="S53" i="1"/>
  <c r="R53" i="1"/>
  <c r="E53" i="1"/>
  <c r="D53" i="1"/>
  <c r="U52" i="1"/>
  <c r="T52" i="1"/>
  <c r="E52" i="1"/>
  <c r="D52" i="1"/>
  <c r="U51" i="1"/>
  <c r="T51" i="1"/>
  <c r="S51" i="1"/>
  <c r="R51" i="1"/>
  <c r="E51" i="1"/>
  <c r="D51" i="1"/>
  <c r="U50" i="1"/>
  <c r="T50" i="1"/>
  <c r="S50" i="1"/>
  <c r="R50" i="1"/>
  <c r="E50" i="1"/>
  <c r="D50" i="1"/>
  <c r="E49" i="1"/>
  <c r="D49" i="1"/>
  <c r="E47" i="1"/>
  <c r="D47" i="1"/>
  <c r="E46" i="1"/>
  <c r="D46" i="1"/>
  <c r="E45" i="1"/>
  <c r="D45" i="1"/>
  <c r="E44" i="1"/>
  <c r="D44" i="1"/>
  <c r="E43" i="1"/>
  <c r="D43" i="1"/>
  <c r="E42" i="1"/>
  <c r="D42" i="1"/>
  <c r="E41" i="1"/>
  <c r="D41" i="1"/>
  <c r="E40" i="1"/>
  <c r="D40" i="1"/>
  <c r="E39" i="1"/>
  <c r="D39" i="1"/>
  <c r="E35" i="1"/>
  <c r="D35" i="1"/>
  <c r="E34" i="1"/>
  <c r="D34" i="1"/>
  <c r="E26" i="1"/>
  <c r="D26" i="1"/>
  <c r="E25" i="1"/>
  <c r="D25" i="1"/>
  <c r="E23" i="1"/>
  <c r="D23" i="1"/>
  <c r="E22" i="1"/>
  <c r="D22" i="1"/>
  <c r="E20" i="1"/>
  <c r="D20" i="1"/>
  <c r="E19" i="1"/>
  <c r="D19" i="1"/>
  <c r="E17" i="1"/>
  <c r="D17" i="1"/>
  <c r="E16" i="1"/>
  <c r="D16" i="1"/>
  <c r="E15" i="1"/>
  <c r="D15" i="1"/>
  <c r="E14" i="1"/>
  <c r="D14" i="1"/>
  <c r="E13" i="1"/>
  <c r="D13" i="1"/>
  <c r="E12" i="1"/>
  <c r="D12" i="1"/>
  <c r="E10" i="1"/>
  <c r="D10" i="1"/>
  <c r="E9" i="1"/>
  <c r="D9" i="1"/>
  <c r="E8" i="1"/>
  <c r="D8" i="1"/>
  <c r="E7" i="1"/>
  <c r="D7" i="1"/>
  <c r="E6" i="1"/>
  <c r="D6" i="1"/>
  <c r="E5" i="1"/>
  <c r="D5" i="1"/>
  <c r="E4" i="1"/>
  <c r="D4" i="1"/>
  <c r="E3" i="1"/>
  <c r="D3" i="1"/>
  <c r="G30" i="9" l="1"/>
  <c r="H30" i="9" s="1"/>
  <c r="G32" i="9"/>
  <c r="H32" i="9" s="1"/>
  <c r="F31" i="9"/>
  <c r="F33" i="9"/>
  <c r="G34" i="9"/>
  <c r="H34" i="9" s="1"/>
  <c r="F37" i="9"/>
  <c r="G31" i="9"/>
  <c r="H31" i="9" s="1"/>
  <c r="G33" i="9"/>
  <c r="H33" i="9" s="1"/>
  <c r="F35" i="9"/>
  <c r="G37" i="9"/>
  <c r="H37" i="9" s="1"/>
  <c r="G36" i="9"/>
  <c r="H36" i="9" s="1"/>
  <c r="F30" i="9"/>
  <c r="F32" i="9"/>
  <c r="F36" i="9"/>
  <c r="G35" i="9"/>
  <c r="H35" i="9" s="1"/>
  <c r="H10" i="9"/>
  <c r="H19" i="9"/>
  <c r="H2" i="9"/>
  <c r="H15" i="9"/>
  <c r="H3" i="9"/>
  <c r="H14" i="9"/>
  <c r="H21" i="9"/>
  <c r="H17" i="9"/>
  <c r="H5" i="9"/>
  <c r="H18" i="9"/>
  <c r="H20" i="9"/>
  <c r="H16" i="9"/>
  <c r="H12" i="9"/>
  <c r="H4" i="9"/>
  <c r="H9" i="9"/>
  <c r="H7" i="9"/>
  <c r="H6" i="9"/>
  <c r="H8" i="9"/>
</calcChain>
</file>

<file path=xl/comments1.xml><?xml version="1.0" encoding="utf-8"?>
<comments xmlns="http://schemas.openxmlformats.org/spreadsheetml/2006/main">
  <authors>
    <author/>
  </authors>
  <commentList>
    <comment ref="B39" authorId="0" shapeId="0">
      <text>
        <r>
          <rPr>
            <sz val="10"/>
            <color rgb="FF000000"/>
            <rFont val="Arial"/>
          </rPr>
          <t xml:space="preserve">General Use:
CD title and status when the CD changer is not playing 
</t>
        </r>
      </text>
    </comment>
    <comment ref="B40" authorId="0" shapeId="0">
      <text>
        <r>
          <rPr>
            <sz val="10"/>
            <color rgb="FF000000"/>
            <rFont val="Arial"/>
          </rPr>
          <t xml:space="preserve">General Use:
Start playing the title </t>
        </r>
      </text>
    </comment>
    <comment ref="B41" authorId="0" shapeId="0">
      <text>
        <r>
          <rPr>
            <sz val="10"/>
            <color rgb="FF000000"/>
            <rFont val="Arial"/>
          </rPr>
          <t xml:space="preserve">General Use:
CD title and status if CD changer plays </t>
        </r>
      </text>
    </comment>
    <comment ref="B42" authorId="0" shapeId="0">
      <text>
        <r>
          <rPr>
            <sz val="10"/>
            <color rgb="FF000000"/>
            <rFont val="Arial"/>
          </rPr>
          <t xml:space="preserve">General Use:
Start playing the title </t>
        </r>
      </text>
    </comment>
    <comment ref="B43" authorId="0" shapeId="0">
      <text>
        <r>
          <rPr>
            <sz val="10"/>
            <color rgb="FF000000"/>
            <rFont val="Arial"/>
          </rPr>
          <t xml:space="preserve">General Use:
Start playing the title </t>
        </r>
      </text>
    </comment>
    <comment ref="B44" authorId="0" shapeId="0">
      <text>
        <r>
          <rPr>
            <sz val="10"/>
            <color rgb="FF000000"/>
            <rFont val="Arial"/>
          </rPr>
          <t xml:space="preserve">General Use:
Start playing the title </t>
        </r>
      </text>
    </comment>
    <comment ref="B45" authorId="0" shapeId="0">
      <text>
        <r>
          <rPr>
            <sz val="10"/>
            <color rgb="FF000000"/>
            <rFont val="Arial"/>
          </rPr>
          <t xml:space="preserve">General Use:
Start playing the title </t>
        </r>
      </text>
    </comment>
    <comment ref="B47" authorId="0" shapeId="0">
      <text>
        <r>
          <rPr>
            <sz val="10"/>
            <color rgb="FF000000"/>
            <rFont val="Arial"/>
          </rPr>
          <t>General Use:
CD exchange</t>
        </r>
      </text>
    </comment>
    <comment ref="O55" authorId="0" shapeId="0">
      <text>
        <r>
          <rPr>
            <sz val="10"/>
            <color rgb="FF000000"/>
            <rFont val="Arial"/>
          </rPr>
          <t xml:space="preserve">Danaher Associate:
disc #1-6
</t>
        </r>
      </text>
    </comment>
    <comment ref="Q55" authorId="0" shapeId="0">
      <text>
        <r>
          <rPr>
            <sz val="10"/>
            <color rgb="FF000000"/>
            <rFont val="Arial"/>
          </rPr>
          <t>Danaher Associate:
if disc is 01</t>
        </r>
      </text>
    </comment>
    <comment ref="O56" authorId="0" shapeId="0">
      <text>
        <r>
          <rPr>
            <sz val="10"/>
            <color rgb="FF000000"/>
            <rFont val="Arial"/>
          </rPr>
          <t xml:space="preserve">Danaher Associate:
disc #1-6
</t>
        </r>
      </text>
    </comment>
    <comment ref="Q56" authorId="0" shapeId="0">
      <text>
        <r>
          <rPr>
            <sz val="10"/>
            <color rgb="FF000000"/>
            <rFont val="Arial"/>
          </rPr>
          <t>Danaher Associate:
if disc is 01</t>
        </r>
      </text>
    </comment>
    <comment ref="O57" authorId="0" shapeId="0">
      <text>
        <r>
          <rPr>
            <sz val="10"/>
            <color rgb="FF000000"/>
            <rFont val="Arial"/>
          </rPr>
          <t xml:space="preserve">Danaher Associate:
disc #1-6
</t>
        </r>
      </text>
    </comment>
    <comment ref="Q57" authorId="0" shapeId="0">
      <text>
        <r>
          <rPr>
            <sz val="10"/>
            <color rgb="FF000000"/>
            <rFont val="Arial"/>
          </rPr>
          <t>Danaher Associate:
if disc is 01</t>
        </r>
      </text>
    </comment>
    <comment ref="O58" authorId="0" shapeId="0">
      <text>
        <r>
          <rPr>
            <sz val="10"/>
            <color rgb="FF000000"/>
            <rFont val="Arial"/>
          </rPr>
          <t xml:space="preserve">Danaher Associate:
disc #1-6
</t>
        </r>
      </text>
    </comment>
    <comment ref="Q58" authorId="0" shapeId="0">
      <text>
        <r>
          <rPr>
            <sz val="10"/>
            <color rgb="FF000000"/>
            <rFont val="Arial"/>
          </rPr>
          <t>Danaher Associate:
if disc is 01</t>
        </r>
      </text>
    </comment>
    <comment ref="O59" authorId="0" shapeId="0">
      <text>
        <r>
          <rPr>
            <sz val="10"/>
            <color rgb="FF000000"/>
            <rFont val="Arial"/>
          </rPr>
          <t xml:space="preserve">Danaher Associate:
disc #1-6
</t>
        </r>
      </text>
    </comment>
    <comment ref="Q59" authorId="0" shapeId="0">
      <text>
        <r>
          <rPr>
            <sz val="10"/>
            <color rgb="FF000000"/>
            <rFont val="Arial"/>
          </rPr>
          <t>Danaher Associate:
if disc is 01</t>
        </r>
      </text>
    </comment>
    <comment ref="O61" authorId="0" shapeId="0">
      <text>
        <r>
          <rPr>
            <sz val="10"/>
            <color rgb="FF000000"/>
            <rFont val="Arial"/>
          </rPr>
          <t xml:space="preserve">Danaher Associate:
disc #1-6
</t>
        </r>
      </text>
    </comment>
    <comment ref="Q61" authorId="0" shapeId="0">
      <text>
        <r>
          <rPr>
            <sz val="10"/>
            <color rgb="FF000000"/>
            <rFont val="Arial"/>
          </rPr>
          <t>Danaher Associate:
if disc is 01</t>
        </r>
      </text>
    </comment>
    <comment ref="AB67" authorId="0" shapeId="0">
      <text>
        <r>
          <rPr>
            <sz val="10"/>
            <color rgb="FF000000"/>
            <rFont val="Arial"/>
          </rPr>
          <t xml:space="preserve">Mom and Dad:
Binary is representative of each disk in the slot
</t>
        </r>
      </text>
    </comment>
  </commentList>
</comments>
</file>

<file path=xl/comments2.xml><?xml version="1.0" encoding="utf-8"?>
<comments xmlns="http://schemas.openxmlformats.org/spreadsheetml/2006/main">
  <authors>
    <author/>
  </authors>
  <commentList>
    <comment ref="B58" authorId="0" shapeId="0">
      <text>
        <r>
          <rPr>
            <sz val="10"/>
            <color rgb="FF000000"/>
            <rFont val="Arial"/>
          </rPr>
          <t>General Use:
Lock all but Driver Door</t>
        </r>
      </text>
    </comment>
    <comment ref="J60" authorId="0" shapeId="0">
      <text>
        <r>
          <rPr>
            <sz val="10"/>
            <color rgb="FF000000"/>
            <rFont val="Arial"/>
          </rPr>
          <t>Mom and Dad:
95?</t>
        </r>
      </text>
    </comment>
    <comment ref="B113" authorId="0" shapeId="0">
      <text>
        <r>
          <rPr>
            <sz val="10"/>
            <color rgb="FF000000"/>
            <rFont val="Arial"/>
          </rPr>
          <t xml:space="preserve">General Use:
CD title and status when the CD changer is not playing 
</t>
        </r>
      </text>
    </comment>
    <comment ref="B114" authorId="0" shapeId="0">
      <text>
        <r>
          <rPr>
            <sz val="10"/>
            <color rgb="FF000000"/>
            <rFont val="Arial"/>
          </rPr>
          <t xml:space="preserve">General Use:
CD title and status if CD changer plays </t>
        </r>
      </text>
    </comment>
    <comment ref="B115" authorId="0" shapeId="0">
      <text>
        <r>
          <rPr>
            <sz val="10"/>
            <color rgb="FF000000"/>
            <rFont val="Arial"/>
          </rPr>
          <t xml:space="preserve">General Use:
Start playing the title </t>
        </r>
      </text>
    </comment>
    <comment ref="B116" authorId="0" shapeId="0">
      <text>
        <r>
          <rPr>
            <sz val="10"/>
            <color rgb="FF000000"/>
            <rFont val="Arial"/>
          </rPr>
          <t xml:space="preserve">General Use:
Start playing the title </t>
        </r>
      </text>
    </comment>
    <comment ref="B117" authorId="0" shapeId="0">
      <text>
        <r>
          <rPr>
            <sz val="10"/>
            <color rgb="FF000000"/>
            <rFont val="Arial"/>
          </rPr>
          <t xml:space="preserve">General Use:
Start playing the title </t>
        </r>
      </text>
    </comment>
    <comment ref="B118" authorId="0" shapeId="0">
      <text>
        <r>
          <rPr>
            <sz val="10"/>
            <color rgb="FF000000"/>
            <rFont val="Arial"/>
          </rPr>
          <t xml:space="preserve">General Use:
Start playing the title </t>
        </r>
      </text>
    </comment>
    <comment ref="B120" authorId="0" shapeId="0">
      <text>
        <r>
          <rPr>
            <sz val="10"/>
            <color rgb="FF000000"/>
            <rFont val="Arial"/>
          </rPr>
          <t>General Use:
CD exchange</t>
        </r>
      </text>
    </comment>
    <comment ref="O121" authorId="0" shapeId="0">
      <text>
        <r>
          <rPr>
            <sz val="10"/>
            <color rgb="FF000000"/>
            <rFont val="Arial"/>
          </rPr>
          <t xml:space="preserve">Danaher Associate:
disc #1-6
</t>
        </r>
      </text>
    </comment>
    <comment ref="Q121" authorId="0" shapeId="0">
      <text>
        <r>
          <rPr>
            <sz val="10"/>
            <color rgb="FF000000"/>
            <rFont val="Arial"/>
          </rPr>
          <t>Danaher Associate:
if disc is 01</t>
        </r>
      </text>
    </comment>
    <comment ref="O122" authorId="0" shapeId="0">
      <text>
        <r>
          <rPr>
            <sz val="10"/>
            <color rgb="FF000000"/>
            <rFont val="Arial"/>
          </rPr>
          <t xml:space="preserve">Danaher Associate:
disc #1-6
</t>
        </r>
      </text>
    </comment>
    <comment ref="Q122" authorId="0" shapeId="0">
      <text>
        <r>
          <rPr>
            <sz val="10"/>
            <color rgb="FF000000"/>
            <rFont val="Arial"/>
          </rPr>
          <t>Danaher Associate:
if disc is 01</t>
        </r>
      </text>
    </comment>
    <comment ref="O123" authorId="0" shapeId="0">
      <text>
        <r>
          <rPr>
            <sz val="10"/>
            <color rgb="FF000000"/>
            <rFont val="Arial"/>
          </rPr>
          <t xml:space="preserve">Danaher Associate:
disc #1-6
</t>
        </r>
      </text>
    </comment>
    <comment ref="Q123" authorId="0" shapeId="0">
      <text>
        <r>
          <rPr>
            <sz val="10"/>
            <color rgb="FF000000"/>
            <rFont val="Arial"/>
          </rPr>
          <t>Danaher Associate:
if disc is 01</t>
        </r>
      </text>
    </comment>
    <comment ref="O124" authorId="0" shapeId="0">
      <text>
        <r>
          <rPr>
            <sz val="10"/>
            <color rgb="FF000000"/>
            <rFont val="Arial"/>
          </rPr>
          <t xml:space="preserve">Danaher Associate:
disc #1-6
</t>
        </r>
      </text>
    </comment>
    <comment ref="Q124" authorId="0" shapeId="0">
      <text>
        <r>
          <rPr>
            <sz val="10"/>
            <color rgb="FF000000"/>
            <rFont val="Arial"/>
          </rPr>
          <t>Danaher Associate:
if disc is 01</t>
        </r>
      </text>
    </comment>
    <comment ref="O125" authorId="0" shapeId="0">
      <text>
        <r>
          <rPr>
            <sz val="10"/>
            <color rgb="FF000000"/>
            <rFont val="Arial"/>
          </rPr>
          <t xml:space="preserve">Danaher Associate:
disc #1-6
</t>
        </r>
      </text>
    </comment>
    <comment ref="Q125" authorId="0" shapeId="0">
      <text>
        <r>
          <rPr>
            <sz val="10"/>
            <color rgb="FF000000"/>
            <rFont val="Arial"/>
          </rPr>
          <t>Danaher Associate:
if disc is 01</t>
        </r>
      </text>
    </comment>
  </commentList>
</comments>
</file>

<file path=xl/sharedStrings.xml><?xml version="1.0" encoding="utf-8"?>
<sst xmlns="http://schemas.openxmlformats.org/spreadsheetml/2006/main" count="3105" uniqueCount="1523">
  <si>
    <t>From</t>
  </si>
  <si>
    <t>Dest</t>
  </si>
  <si>
    <t>Lenth</t>
  </si>
  <si>
    <t>B3</t>
  </si>
  <si>
    <t>B4</t>
  </si>
  <si>
    <t>B5</t>
  </si>
  <si>
    <t>B6</t>
  </si>
  <si>
    <t>B7</t>
  </si>
  <si>
    <t>B8</t>
  </si>
  <si>
    <t>Radio Buttons</t>
  </si>
  <si>
    <t>Verified</t>
  </si>
  <si>
    <t>Poll CD</t>
  </si>
  <si>
    <t>68</t>
  </si>
  <si>
    <t>03</t>
  </si>
  <si>
    <t>18</t>
  </si>
  <si>
    <t>01</t>
  </si>
  <si>
    <t>68 3 18 1 72</t>
  </si>
  <si>
    <t>(radio on) no button press</t>
  </si>
  <si>
    <t>04</t>
  </si>
  <si>
    <t>FF</t>
  </si>
  <si>
    <t>3B</t>
  </si>
  <si>
    <t>00</t>
  </si>
  <si>
    <t>A8</t>
  </si>
  <si>
    <t>68 4 FF 3B 0 A8</t>
  </si>
  <si>
    <t>CD status Req</t>
  </si>
  <si>
    <t>05</t>
  </si>
  <si>
    <t>38</t>
  </si>
  <si>
    <t>4D</t>
  </si>
  <si>
    <t>"request pause"</t>
  </si>
  <si>
    <t>68 5 18 38 1 0 4C  ibus good</t>
  </si>
  <si>
    <t>Veified</t>
  </si>
  <si>
    <t>Stop</t>
  </si>
  <si>
    <t>4C</t>
  </si>
  <si>
    <t>(sent when changing to other mode or off)</t>
  </si>
  <si>
    <t>Pause</t>
  </si>
  <si>
    <t>02</t>
  </si>
  <si>
    <t>4F</t>
  </si>
  <si>
    <t>68 5 18 38 2 0 4F</t>
  </si>
  <si>
    <t>Play</t>
  </si>
  <si>
    <t>4E</t>
  </si>
  <si>
    <t>Fast Rwd</t>
  </si>
  <si>
    <t>49</t>
  </si>
  <si>
    <t>(when in manual mode or skip right is held down)</t>
  </si>
  <si>
    <t>Fast Fwd</t>
  </si>
  <si>
    <t>48</t>
  </si>
  <si>
    <t>CD Button 1</t>
  </si>
  <si>
    <t>06</t>
  </si>
  <si>
    <t>4A</t>
  </si>
  <si>
    <t>CD Button 2</t>
  </si>
  <si>
    <t>CD Button 3</t>
  </si>
  <si>
    <t>CD Button 4</t>
  </si>
  <si>
    <t>B5 - button number or:</t>
  </si>
  <si>
    <t>CD Button 5</t>
  </si>
  <si>
    <t>on and Pause</t>
  </si>
  <si>
    <t>Off</t>
  </si>
  <si>
    <t>CD Button 6</t>
  </si>
  <si>
    <t>On</t>
  </si>
  <si>
    <t>Scan On</t>
  </si>
  <si>
    <t>07</t>
  </si>
  <si>
    <t>4B</t>
  </si>
  <si>
    <t>Scan Off</t>
  </si>
  <si>
    <t>Fst RWD</t>
  </si>
  <si>
    <t>Random On</t>
  </si>
  <si>
    <t>08</t>
  </si>
  <si>
    <t>Button</t>
  </si>
  <si>
    <t>Random Off</t>
  </si>
  <si>
    <t>45</t>
  </si>
  <si>
    <t>Scan</t>
  </si>
  <si>
    <t>Random</t>
  </si>
  <si>
    <t>Skip forward</t>
  </si>
  <si>
    <t>0A</t>
  </si>
  <si>
    <t>09</t>
  </si>
  <si>
    <t>Skip Backward</t>
  </si>
  <si>
    <t>46</t>
  </si>
  <si>
    <t>Skip forward green car</t>
  </si>
  <si>
    <t>5</t>
  </si>
  <si>
    <t>0</t>
  </si>
  <si>
    <t>0B</t>
  </si>
  <si>
    <t>Skip backward forward green car</t>
  </si>
  <si>
    <t>1</t>
  </si>
  <si>
    <t>0C</t>
  </si>
  <si>
    <t>Release</t>
  </si>
  <si>
    <t>3</t>
  </si>
  <si>
    <t>update text when rec'd</t>
  </si>
  <si>
    <t>0D</t>
  </si>
  <si>
    <t>0E</t>
  </si>
  <si>
    <t>0F</t>
  </si>
  <si>
    <t xml:space="preserve">         </t>
  </si>
  <si>
    <t>CD Player</t>
  </si>
  <si>
    <t>10</t>
  </si>
  <si>
    <t>(From CD changer $18h)</t>
  </si>
  <si>
    <t>verified</t>
  </si>
  <si>
    <t>Cd Announce</t>
  </si>
  <si>
    <t>E0</t>
  </si>
  <si>
    <t>registration message (after reset)</t>
  </si>
  <si>
    <t>CD respond</t>
  </si>
  <si>
    <t>E1</t>
  </si>
  <si>
    <t>Response</t>
  </si>
  <si>
    <t xml:space="preserve">CD Status                                                    </t>
  </si>
  <si>
    <t>Disk</t>
  </si>
  <si>
    <t>track</t>
  </si>
  <si>
    <t>CD not Play</t>
  </si>
  <si>
    <t>39</t>
  </si>
  <si>
    <t>3F</t>
  </si>
  <si>
    <t>Requst = Pause</t>
  </si>
  <si>
    <t>with ending 01 01 checksum is 7E</t>
  </si>
  <si>
    <t>CD start Play</t>
  </si>
  <si>
    <t>Requst = Play</t>
  </si>
  <si>
    <t>CD Playing</t>
  </si>
  <si>
    <t>CD scan FWD</t>
  </si>
  <si>
    <t>FFWD</t>
  </si>
  <si>
    <t>CD Scan BWD</t>
  </si>
  <si>
    <t>FRWD</t>
  </si>
  <si>
    <t>Mode5</t>
  </si>
  <si>
    <t>Mode6</t>
  </si>
  <si>
    <t>CD track End</t>
  </si>
  <si>
    <t>End</t>
  </si>
  <si>
    <t>CD seek</t>
  </si>
  <si>
    <t>Loading</t>
  </si>
  <si>
    <t>Cd number 01-06, CD title number</t>
  </si>
  <si>
    <t>Status</t>
  </si>
  <si>
    <t>Flag</t>
  </si>
  <si>
    <t>error</t>
  </si>
  <si>
    <t>Discs loaded</t>
  </si>
  <si>
    <t>From USA Spec test?</t>
  </si>
  <si>
    <t>7B</t>
  </si>
  <si>
    <t>CD check for disc</t>
  </si>
  <si>
    <t>CD no disc</t>
  </si>
  <si>
    <t>41</t>
  </si>
  <si>
    <t>Loading disc</t>
  </si>
  <si>
    <t>30</t>
  </si>
  <si>
    <t>72</t>
  </si>
  <si>
    <t>75</t>
  </si>
  <si>
    <t>current</t>
  </si>
  <si>
    <t>Request</t>
  </si>
  <si>
    <t xml:space="preserve">flag </t>
  </si>
  <si>
    <t>CD</t>
  </si>
  <si>
    <t>BIN</t>
  </si>
  <si>
    <t>nothing</t>
  </si>
  <si>
    <t>1,2</t>
  </si>
  <si>
    <t>1,2,3</t>
  </si>
  <si>
    <t>1,2,</t>
  </si>
  <si>
    <t>1,2,3,4,5</t>
  </si>
  <si>
    <t>1,2,3,4,5,6</t>
  </si>
  <si>
    <t>cd empty?</t>
  </si>
  <si>
    <t>disc error, No disk</t>
  </si>
  <si>
    <t>??</t>
  </si>
  <si>
    <t>CD_Check</t>
  </si>
  <si>
    <t>6,5</t>
  </si>
  <si>
    <t>No Magazine</t>
  </si>
  <si>
    <t>3A</t>
  </si>
  <si>
    <t>6,5,4,2</t>
  </si>
  <si>
    <t xml:space="preserve">Mode11 </t>
  </si>
  <si>
    <t>6,5,4,2,1</t>
  </si>
  <si>
    <t xml:space="preserve">Mode12 </t>
  </si>
  <si>
    <t>3C</t>
  </si>
  <si>
    <t>3,4,5,6</t>
  </si>
  <si>
    <t xml:space="preserve">Mode13 </t>
  </si>
  <si>
    <t>3D</t>
  </si>
  <si>
    <t>1,3,4,5,6</t>
  </si>
  <si>
    <t xml:space="preserve">Mode15 </t>
  </si>
  <si>
    <t>3E</t>
  </si>
  <si>
    <t>2,3,4,5,6</t>
  </si>
  <si>
    <t xml:space="preserve">Mode14 </t>
  </si>
  <si>
    <t xml:space="preserve">Mode16 </t>
  </si>
  <si>
    <t>Flags =</t>
  </si>
  <si>
    <t>40</t>
  </si>
  <si>
    <t>No disks</t>
  </si>
  <si>
    <t>11</t>
  </si>
  <si>
    <t xml:space="preserve">mode17 </t>
  </si>
  <si>
    <t>12</t>
  </si>
  <si>
    <t xml:space="preserve">Mode18 </t>
  </si>
  <si>
    <t>13</t>
  </si>
  <si>
    <t xml:space="preserve">Mode19 </t>
  </si>
  <si>
    <t>seek?</t>
  </si>
  <si>
    <t>14</t>
  </si>
  <si>
    <t>seek</t>
  </si>
  <si>
    <t>15</t>
  </si>
  <si>
    <t>Pause and seek?</t>
  </si>
  <si>
    <t>16</t>
  </si>
  <si>
    <t>17</t>
  </si>
  <si>
    <t>111111</t>
  </si>
  <si>
    <t>Seek</t>
  </si>
  <si>
    <t>After battery off on Radio</t>
  </si>
  <si>
    <t>68 3 D0 5D E6  undefined message</t>
  </si>
  <si>
    <t>68 4 BF 2 1 D0  undefined message</t>
  </si>
  <si>
    <t>68 5 80 41 1 1 AC  undefined message</t>
  </si>
  <si>
    <t>80 4 BF 11 3 29  _______IKE</t>
  </si>
  <si>
    <t>80 C FF 24 1 0 2D 2D 3A 2D 2D 20 20 6C  _______IKE</t>
  </si>
  <si>
    <t>80 9 FF 24 3 0 2B 31 31 38 42  _______IKE</t>
  </si>
  <si>
    <t>80 A BF 13 0 2 0 0 0 80 39 9D  _______IKE</t>
  </si>
  <si>
    <t>'STEERING WHEEL</t>
  </si>
  <si>
    <t>Steering Wheel &lt;50, 04, 68&gt;</t>
  </si>
  <si>
    <t xml:space="preserve">        volup        BYTE $50, $04, $68, $32, $11</t>
  </si>
  <si>
    <t>Voume up</t>
  </si>
  <si>
    <t>$50, $04, $68, $32, $11</t>
  </si>
  <si>
    <t>50</t>
  </si>
  <si>
    <t>32</t>
  </si>
  <si>
    <t xml:space="preserve">        voldown      BYTE $50, $04, $68, $32, $10</t>
  </si>
  <si>
    <t>Volume Down</t>
  </si>
  <si>
    <t>$50, $04, $68, $32, $10</t>
  </si>
  <si>
    <t xml:space="preserve">        whlplus      BYTE $50, $04, $68, $3B, $01</t>
  </si>
  <si>
    <t>Wheel next</t>
  </si>
  <si>
    <t>$50, $04, $68, $3B, $01</t>
  </si>
  <si>
    <t xml:space="preserve">        whlmin       BYTE $50, $04, $68, $3B, $08</t>
  </si>
  <si>
    <t>Wheel skip</t>
  </si>
  <si>
    <t>$50, $04, $68, $3B, $08</t>
  </si>
  <si>
    <t xml:space="preserve">        RTButton     BYTE $50, $04, $C8, $3B, $40</t>
  </si>
  <si>
    <t>RT Button</t>
  </si>
  <si>
    <t>$50, $04, $C8, $3B, $40</t>
  </si>
  <si>
    <t>C8</t>
  </si>
  <si>
    <t xml:space="preserve">        Dial         BYTE $50, $04, $C8, $3B, $80 </t>
  </si>
  <si>
    <t>Dial</t>
  </si>
  <si>
    <t>$50, $04, $C8, $3B, $80</t>
  </si>
  <si>
    <t>80</t>
  </si>
  <si>
    <t>'WINDOWS and MIRRORS</t>
  </si>
  <si>
    <t>Windows and Mirrors</t>
  </si>
  <si>
    <t xml:space="preserve">        DRwindOpen   BYTE $3F, $05, $00, $0C, $41, $01</t>
  </si>
  <si>
    <t>DR wind Open</t>
  </si>
  <si>
    <t>$3F, $05, $00, $0C, $41, $01</t>
  </si>
  <si>
    <t xml:space="preserve">Messages to the control units for the E39 series: address 00 Hex (transmitter 3FH / DIS) </t>
  </si>
  <si>
    <t xml:space="preserve">        DRwindClose  BYTE $3F, $05, $00, $0C, $42, $01</t>
  </si>
  <si>
    <t>DR wind Close</t>
  </si>
  <si>
    <t>$3F, $05, $00, $0C, $42, $01</t>
  </si>
  <si>
    <t>42</t>
  </si>
  <si>
    <t xml:space="preserve">&lt;3F 05 00&gt; 0C 00 44 &lt;XOR&gt; Fenster Fahrerseite hinten schließen &lt;3F 05 00&gt; 00 44 0C &lt;XOR&gt; driver's side window close behind </t>
  </si>
  <si>
    <t xml:space="preserve">        PRwindClose  BYTE $3F, $05, $00, $0C, $43, $01</t>
  </si>
  <si>
    <t>PR wind close</t>
  </si>
  <si>
    <t>$3F, $05, $00, $0C, $43, $01</t>
  </si>
  <si>
    <t>43</t>
  </si>
  <si>
    <t xml:space="preserve">&lt;3F 05 00&gt; 0C 00 45 &lt;XOR&gt; Fenster Fahrerseite hinten öffnen &lt;3F 05 00&gt; 00 45 0C &lt;XOR&gt; driver's side window open behind </t>
  </si>
  <si>
    <t xml:space="preserve">        PRwindOpen   BYTE $3F, $05, $00, $0C, $44, $01</t>
  </si>
  <si>
    <t>PR wind open</t>
  </si>
  <si>
    <t>$3F, $05, $00, $0C, $44, $01</t>
  </si>
  <si>
    <t>44</t>
  </si>
  <si>
    <t xml:space="preserve">&lt;3F 05 00&gt; 0C 00 46 &lt;XOR&gt; Fenster Beifahrerseite hinten schließen &lt;3F 05 00&gt; 00 46 0C &lt;XOR&gt; passenger side window close behind </t>
  </si>
  <si>
    <t xml:space="preserve">        DFwindOpen   BYTE $3F, $05, $00, $0C, $52, $01</t>
  </si>
  <si>
    <t>DF wind open</t>
  </si>
  <si>
    <t>$3F, $05, $00, $0C, $52, $01</t>
  </si>
  <si>
    <t>52</t>
  </si>
  <si>
    <t xml:space="preserve">&lt;3F 05 00&gt; 0C 00 47 &lt;XOR&gt; Fenster Beifahrerseite hinten öffnen &lt;3F 05 00&gt; 00 47 0C &lt;XOR&gt; open rear passenger side window </t>
  </si>
  <si>
    <t xml:space="preserve">        DFwindClose  BYTE $3F, $05, $00, $0C, $53, $01</t>
  </si>
  <si>
    <t>DF wind close</t>
  </si>
  <si>
    <t>$3F, $05, $00, $0C, $53, $01</t>
  </si>
  <si>
    <t>53</t>
  </si>
  <si>
    <t xml:space="preserve">&lt;3F 05 00&gt; 0C 00 65 &lt;XOR&gt; alle Fenster öffnen &lt;3F 05 00&gt; 00 65 0C &lt;XOR&gt; open all windows </t>
  </si>
  <si>
    <t xml:space="preserve">        PFwindOpen   BYTE $3F, $05, $00, $0C, $54, $01</t>
  </si>
  <si>
    <t>PF wind open</t>
  </si>
  <si>
    <t>$3F, $05, $00, $0C, $54, $01</t>
  </si>
  <si>
    <t>54</t>
  </si>
  <si>
    <t xml:space="preserve">&lt;3F 05 00&gt; 0C 00 66 &lt;XOR&gt; Schiebedach öffnen &lt;3F 05 00&gt; 00 66 0C &lt;XOR&gt; open sunroof </t>
  </si>
  <si>
    <t xml:space="preserve">        PFwindClose  BYTE $3F, $05, $00, $0C, $55, $01</t>
  </si>
  <si>
    <t>PF wind Close</t>
  </si>
  <si>
    <t>$3F, $05, $00, $0C, $55, $01</t>
  </si>
  <si>
    <t>55</t>
  </si>
  <si>
    <t xml:space="preserve">&lt;3F 05 00&gt; 0C 00 0B &lt;XOR&gt; Zentralverriegelung öffen/schließen &lt;3F 05 00&gt; 0C 00 0B &lt;XOR&gt; Central close openable / </t>
  </si>
  <si>
    <t xml:space="preserve">&lt;3F 05 00&gt; 0C 00 40 &lt;XOR&gt; Kofferraum öffnen &lt;3F 05 00&gt; 00 40 0C &lt;XOR&gt; trunk open </t>
  </si>
  <si>
    <t xml:space="preserve">        SRoofClose   BYTE $3F, $05, $00, $0C, $7F, $01</t>
  </si>
  <si>
    <t>Sun Roof Close</t>
  </si>
  <si>
    <t>$3F, $05, $00, $0C, $7F, $01</t>
  </si>
  <si>
    <t>7F</t>
  </si>
  <si>
    <t xml:space="preserve">&lt;3F 05 00&gt; 0C 00 00 &lt;XOR&gt; Fahrersitz nach vorne verschieben &lt;3F 05 00&gt; 00 00 0C &lt;XOR&gt; seat move forward </t>
  </si>
  <si>
    <t xml:space="preserve">        SRoofOpen    BYTE $3F, $05, $00, $0C, $7E, $01</t>
  </si>
  <si>
    <t>Sun Roof Open</t>
  </si>
  <si>
    <t>$3F, $05, $00, $0C, $7E, $01</t>
  </si>
  <si>
    <t>7E</t>
  </si>
  <si>
    <t xml:space="preserve">&lt;3F 05 00&gt; 0C 00 01 &lt;XOR&gt; Fahrersitz nach hinten verschieben &lt;3F 05 00&gt; 00 01 0C &lt;XOR&gt; seat rearwards </t>
  </si>
  <si>
    <t xml:space="preserve">&lt;3F 06 00&gt; 0C 01 31 01 &lt;XOR&gt; Spiegel Fahrerseite einklappen &lt;3F 06 00&gt; 01 31 01 0C &lt;XOR&gt; driver side mirror fold </t>
  </si>
  <si>
    <t xml:space="preserve">        DMirrorFold  BYTE $3F, $06, $00, $0C, $01, $31, $01</t>
  </si>
  <si>
    <t>D Mirror Fold</t>
  </si>
  <si>
    <t>$3F, $06, $00, $0C, $01, $31, $01</t>
  </si>
  <si>
    <t>31</t>
  </si>
  <si>
    <t xml:space="preserve">&lt;3F 06 00&gt; 0C 01 30 01 &lt;XOR&gt; Spiegel Fahrerseite ausklappen &lt;3F 06 00&gt; 01 30 01 0C &lt;XOR&gt; driver side mirror fold out </t>
  </si>
  <si>
    <t xml:space="preserve">        DMirrorOut   BYTE $3F, $06, $00, $0C, $01, $30, $01</t>
  </si>
  <si>
    <t>D Mirror Out</t>
  </si>
  <si>
    <t>$3F, $06, $00, $0C, $01, $30, $01</t>
  </si>
  <si>
    <t xml:space="preserve">&lt;3F 06 00&gt; 0C 02 31 01 &lt;XOR&gt; Spiegel Beifahrerseite einklappen &lt;3F 06 00&gt; 02 31 01 0C &lt;XOR&gt; passenger side mirror fold </t>
  </si>
  <si>
    <t xml:space="preserve">        PMirrorFold  BYTE $3F, $06, $00, $0C, $02, $31, $01</t>
  </si>
  <si>
    <t>P Mirror Fold</t>
  </si>
  <si>
    <t>$3F, $06, $00, $0C, $02, $31, $01</t>
  </si>
  <si>
    <t xml:space="preserve">&lt;3F 06 00&gt; 0C 02 30 01 &lt;XOR&gt; Spiegel Beifahrerseite ausklappen &lt;3F 06 00&gt; 02 30 01 0C &lt;XOR&gt; passenger side mirror fold out </t>
  </si>
  <si>
    <t xml:space="preserve">        PMirrorOut   BYTE $3F, $06, $00, $0C, $02, $30, $01</t>
  </si>
  <si>
    <t>P Mirror Out</t>
  </si>
  <si>
    <t>$3F, $06, $00, $0C, $02, $30, $01</t>
  </si>
  <si>
    <t>'LIGHTS</t>
  </si>
  <si>
    <t>Lights</t>
  </si>
  <si>
    <t xml:space="preserve">        ClownNose    BYTE $3F, $05, $00, $0C, $4E, $01   </t>
  </si>
  <si>
    <t>Clown Nose</t>
  </si>
  <si>
    <t xml:space="preserve">$3F, $05, $00, $0C, $4E, $01   </t>
  </si>
  <si>
    <t xml:space="preserve">        Wrnblnk      BYTE $3f, $0b, $bf, $0c, $20, $00, $00, $00, $00, $00, $00, $06</t>
  </si>
  <si>
    <t>Wrn Blnk</t>
  </si>
  <si>
    <t>$3f, $0b, $bf, $0c, $20, $00, $00, $00, $00, $00, $00, $06</t>
  </si>
  <si>
    <t>3f</t>
  </si>
  <si>
    <t>0b</t>
  </si>
  <si>
    <t>bf</t>
  </si>
  <si>
    <t>0c</t>
  </si>
  <si>
    <t>20</t>
  </si>
  <si>
    <t xml:space="preserve">        Wrnblnk3sec  BYTE $3f, $05, $00, $0c, $75, $01</t>
  </si>
  <si>
    <t>Wrn Blnk 3sec</t>
  </si>
  <si>
    <t>$3f, $05, $00, $0c, $75, $01</t>
  </si>
  <si>
    <t xml:space="preserve">        ParkLeft     BYTE $3f, $0b, $bf, $0c, $00, $00, $00, $40, $00, $00, $00, $06</t>
  </si>
  <si>
    <t>Park Left</t>
  </si>
  <si>
    <t>$3f, $0b, $bf, $0c, $00, $00, $00, $40, $00, $00, $00, $06</t>
  </si>
  <si>
    <t xml:space="preserve">        ParkRight    BYTE $3f, $0b, $bf, $0c, $00, $00, $00, $80, $00, $00, $00, $06</t>
  </si>
  <si>
    <t>Park Right</t>
  </si>
  <si>
    <t>$3f, $0b, $bf, $0c, $00, $00, $00, $80, $00, $00, $00, $06</t>
  </si>
  <si>
    <t xml:space="preserve">        StopLeft     BYTE $3f, $0b, $bf, $0c, $00, $00, $00, $00, $08, $00, $00, $06</t>
  </si>
  <si>
    <t>Stop Left</t>
  </si>
  <si>
    <t>$3f, $0b, $bf, $0c, $00, $00, $00, $00, $08, $00, $00, $06</t>
  </si>
  <si>
    <t xml:space="preserve">        StopRight    BYTE $3f, $0b, $bf, $0c, $00, $00, $00, $00, $10, $00, $00, $06</t>
  </si>
  <si>
    <t>Stop Right</t>
  </si>
  <si>
    <t>$3f, $0b, $bf, $0c, $00, $00, $00, $00, $10, $00, $00, $06</t>
  </si>
  <si>
    <t xml:space="preserve">        InteriorOut  BYTE $3F, $05, $00, $0C, $68, $01</t>
  </si>
  <si>
    <t>Interior Out</t>
  </si>
  <si>
    <t>$3F, $05, $00, $0C, $68, $01</t>
  </si>
  <si>
    <t>5F</t>
  </si>
  <si>
    <t xml:space="preserve">        FogLightsON  BYTE $3f, $0b, $bf, $0c, $00, $00, $00, $00, $00, $00, $01, $06</t>
  </si>
  <si>
    <t>Fog Light on</t>
  </si>
  <si>
    <t>$3f, $0b, $bf, $0c, $00, $00, $00, $00, $00, $00, $01, $06</t>
  </si>
  <si>
    <t xml:space="preserve">        FogLightsOFF BYTE $3f, $0b, $bf, $0c, $00, $00, $00, $00, $00, $00, $00, $06</t>
  </si>
  <si>
    <t>Fog Light off</t>
  </si>
  <si>
    <t>$3f, $0b, $bf, $0c, $00, $00, $00, $00, $00, $00, $00, $06</t>
  </si>
  <si>
    <t xml:space="preserve">        HazzAndInt   BYTE $3F, $05, $00, $0C, $70, $01 </t>
  </si>
  <si>
    <t>Hazz and Int</t>
  </si>
  <si>
    <t xml:space="preserve">$3F, $05, $00, $0C, $70, $01 </t>
  </si>
  <si>
    <t>70</t>
  </si>
  <si>
    <t>47</t>
  </si>
  <si>
    <t xml:space="preserve">Lighting control </t>
  </si>
  <si>
    <t>76</t>
  </si>
  <si>
    <t xml:space="preserve">00 04 76 bf xx chk </t>
  </si>
  <si>
    <t xml:space="preserve">xx is a bitmask as follows 7 6 5 4 3 2 1 0 </t>
  </si>
  <si>
    <t xml:space="preserve">Bit 1 = warning lights, bit 2 = low beam, bit 3 = Fade.  The bits can be combined.  eg passing and hazard lights = 0 0 0 0 0 1 1 0 = $ 06 (hex) </t>
  </si>
  <si>
    <t>'LOCKS</t>
  </si>
  <si>
    <t>Locks</t>
  </si>
  <si>
    <t xml:space="preserve">        remoteHome   BYTE $00, $04, $BF, $72, $26</t>
  </si>
  <si>
    <t>Remote Home</t>
  </si>
  <si>
    <t>$00, $04, $BF, $72, $26</t>
  </si>
  <si>
    <t>BF</t>
  </si>
  <si>
    <t>26</t>
  </si>
  <si>
    <t xml:space="preserve">        remoteLock   BYTE $00, $04, $BF, $72, $16</t>
  </si>
  <si>
    <t>Remote Lock</t>
  </si>
  <si>
    <t>$00, $04, $BF, $72, $16</t>
  </si>
  <si>
    <t>Remotebtnup</t>
  </si>
  <si>
    <t xml:space="preserve">        KeyInsert    BYTE $44, $05, $bf, $74, $04, $01</t>
  </si>
  <si>
    <t>Key Insert</t>
  </si>
  <si>
    <t>$44, $05, $bf, $74, $04, $01</t>
  </si>
  <si>
    <t>74</t>
  </si>
  <si>
    <t xml:space="preserve">Bf 44 05 74 04 xx chk </t>
  </si>
  <si>
    <t xml:space="preserve"> Two different answers </t>
  </si>
  <si>
    <t xml:space="preserve">        KeyRemove    BYTE $44, $05, $bf, $74, $00, $FF</t>
  </si>
  <si>
    <t>Key Removed</t>
  </si>
  <si>
    <t>$44, $05, $bf, $74, $00, $FF</t>
  </si>
  <si>
    <t xml:space="preserve">44 05 74 00 ff bf chk </t>
  </si>
  <si>
    <t xml:space="preserve">        Lock3        BYTE $3F, $05, $00, $0C, $4F, $01</t>
  </si>
  <si>
    <t>Lock 3</t>
  </si>
  <si>
    <t>$3F, $05, $00, $0C, $4F, $01</t>
  </si>
  <si>
    <t xml:space="preserve">        LockDriver   BYTE $3F, $05, $00, $0C, $47, $01</t>
  </si>
  <si>
    <t>Lock Driver</t>
  </si>
  <si>
    <t>$3F, $05, $00, $0C, $47, $01</t>
  </si>
  <si>
    <t xml:space="preserve">        TrunkOpen    BYTE $3f, $05, $00, $0c, $02, $01</t>
  </si>
  <si>
    <t>Trunc Open</t>
  </si>
  <si>
    <t>$3f, $05, $00, $0c, $02, $01</t>
  </si>
  <si>
    <t>open all</t>
  </si>
  <si>
    <t>96</t>
  </si>
  <si>
    <t>Lock all</t>
  </si>
  <si>
    <t>97</t>
  </si>
  <si>
    <t xml:space="preserve">                 </t>
  </si>
  <si>
    <t>'MOTORS</t>
  </si>
  <si>
    <t>Motors</t>
  </si>
  <si>
    <t xml:space="preserve">        Wiper        BYTE $3F, $05, $00, $0C, $49, $01</t>
  </si>
  <si>
    <t>Wiper</t>
  </si>
  <si>
    <t>$3F, $05, $00, $0C, $49, $01</t>
  </si>
  <si>
    <t xml:space="preserve">        WiperFluid   BYTE $3F, $05, $00, $0C, $62, $01</t>
  </si>
  <si>
    <t>Wiper Fluid</t>
  </si>
  <si>
    <t>$3F, $05, $00, $0C, $62, $01</t>
  </si>
  <si>
    <t>62</t>
  </si>
  <si>
    <t>'CD CHANGER</t>
  </si>
  <si>
    <t>Radio</t>
  </si>
  <si>
    <t>(From Radio $68)</t>
  </si>
  <si>
    <t>request</t>
  </si>
  <si>
    <t>Respond</t>
  </si>
  <si>
    <t>A0</t>
  </si>
  <si>
    <t>BA</t>
  </si>
  <si>
    <t xml:space="preserve">        'From Radio  $68</t>
  </si>
  <si>
    <t>GET TIME</t>
  </si>
  <si>
    <t>AC</t>
  </si>
  <si>
    <t xml:space="preserve">68 5 80 41 1 1 AC  good message </t>
  </si>
  <si>
    <t>1C</t>
  </si>
  <si>
    <t>Status Request</t>
  </si>
  <si>
    <t>CD_control</t>
  </si>
  <si>
    <t xml:space="preserve">        playtrack     BYTE $68, $05, $18, $38, $03, $00</t>
  </si>
  <si>
    <t>Play track</t>
  </si>
  <si>
    <t>$68, $05, $18, $38, $03, $00</t>
  </si>
  <si>
    <t xml:space="preserve">        stoptrack     BYTE $68, $05, $18, $38, $01, $00</t>
  </si>
  <si>
    <t>Stop Track</t>
  </si>
  <si>
    <t>$68, $05, $18, $38, $01, $00</t>
  </si>
  <si>
    <t xml:space="preserve">        'Switch CD# (01-06)                         CD#                                       </t>
  </si>
  <si>
    <t xml:space="preserve">        changecd      BYTE $68, $05, $18, $38, $06, $00</t>
  </si>
  <si>
    <t>Change Cd</t>
  </si>
  <si>
    <t>$68, $05, $18, $38, $06, $00</t>
  </si>
  <si>
    <t xml:space="preserve">        pollCD        BYTE $68, $03, $18, $01, $72</t>
  </si>
  <si>
    <t>$68, $03, $18, $01, $72</t>
  </si>
  <si>
    <t xml:space="preserve">        CDstatusreq   BYTE $68, $05, $18, $38, $00, $00 </t>
  </si>
  <si>
    <t xml:space="preserve">$68, $05, $18, $38, $00, $00 </t>
  </si>
  <si>
    <t>'RADIO BUTTONS</t>
  </si>
  <si>
    <t>BUTTO</t>
  </si>
  <si>
    <t xml:space="preserve">        CDButton1    BYTE $68, $05, $18, $38, $06, $01</t>
  </si>
  <si>
    <t>$68, $05, $18, $38, $06, $01</t>
  </si>
  <si>
    <t xml:space="preserve">        CDButton2    BYTE $68, $05, $18, $38, $06, $02</t>
  </si>
  <si>
    <t>$68, $05, $18, $38, $06, $02</t>
  </si>
  <si>
    <t xml:space="preserve">        CDButton3    BYTE $68, $05, $18, $38, $06, $03</t>
  </si>
  <si>
    <t>$68, $05, $18, $38, $06, $03</t>
  </si>
  <si>
    <t xml:space="preserve">        CDButton4    BYTE $68, $05, $18, $38, $06, $04</t>
  </si>
  <si>
    <t>$68, $05, $18, $38, $06, $04</t>
  </si>
  <si>
    <t xml:space="preserve">        CDButton5    BYTE $68, $05, $18, $38, $06, $05</t>
  </si>
  <si>
    <t>$68, $05, $18, $38, $06, $05</t>
  </si>
  <si>
    <t xml:space="preserve">        chgtrackDown BYTE $68, $05, $18, $38, $05, $01</t>
  </si>
  <si>
    <t>Chg track Down</t>
  </si>
  <si>
    <t>$68, $05, $18, $38, $05, $01</t>
  </si>
  <si>
    <t xml:space="preserve">        chgtrackUp   BYTE $68, $05, $18, $38, $05, $00</t>
  </si>
  <si>
    <t>Chg track up</t>
  </si>
  <si>
    <t>$68, $05, $18, $38, $05, $00</t>
  </si>
  <si>
    <t xml:space="preserve">        RandomOn     BYTE $68, $05, $18, $38, $08, $01</t>
  </si>
  <si>
    <t>$68, $05, $18, $38, $08, $01</t>
  </si>
  <si>
    <t xml:space="preserve">        RandomOff    BYTE $68, $05, $18, $38, $08, $00</t>
  </si>
  <si>
    <t>$68, $05, $18, $38, $08, $00</t>
  </si>
  <si>
    <t xml:space="preserve">        ScanOn       BYTE $68, $05, $18, $38, $07, $01</t>
  </si>
  <si>
    <t>$68, $05, $18, $38, $07, $01</t>
  </si>
  <si>
    <t xml:space="preserve">        ScanOff      BYTE $68, $05, $18, $38, $07, $00</t>
  </si>
  <si>
    <t>$68, $05, $18, $38, $07, $00</t>
  </si>
  <si>
    <t xml:space="preserve">        'From CD changer ($18h)</t>
  </si>
  <si>
    <t xml:space="preserve">        CDannounce    BYTE $18, $04, $FF, $02, $01</t>
  </si>
  <si>
    <t>$18, $04, $FF, $02, $01</t>
  </si>
  <si>
    <t xml:space="preserve">        CDrespond     BYTE $18, $04, $FF, $02, $00</t>
  </si>
  <si>
    <t>$18, $04, $FF, $02, $00</t>
  </si>
  <si>
    <t xml:space="preserve">        'CD Status                                                    dd   tt  Disc (01-06 / track)</t>
  </si>
  <si>
    <t>dd   tt  Disc (01-06 / track)</t>
  </si>
  <si>
    <t>B9</t>
  </si>
  <si>
    <t>B10</t>
  </si>
  <si>
    <t>B4,5,7 are status messages (see ours tab), B9 = disc, B10 = track</t>
  </si>
  <si>
    <t xml:space="preserve">        CDnotplay     BYTE $18, $0A, $68,  $39, $00, $02, $00, $3F, $00, $00, $00</t>
  </si>
  <si>
    <t>$18, $0A, $68,  $39, $00, $02, $00, $3F, $00, $00, $00</t>
  </si>
  <si>
    <t>Stop Request = Pause</t>
  </si>
  <si>
    <t xml:space="preserve">        CDplaying     BYTE $18, $0A, $68,  $39, $00, $09, $00, $3F, $00, $00, $00</t>
  </si>
  <si>
    <t>$18, $0A, $68,  $39, $00, $09, $00, $3F, $00, $00, $00</t>
  </si>
  <si>
    <t>Madeup</t>
  </si>
  <si>
    <t xml:space="preserve">        CDstartplay   BYTE $18, $0A, $68,  $39, $02, $09, $00, $3F, $00, $00, $00</t>
  </si>
  <si>
    <t>$18, $0A, $68,  $39, $02, $09, $00, $3F, $00, $00, $00</t>
  </si>
  <si>
    <t xml:space="preserve">        CDtrackend    BYTE $18, $0A, $68,  $39, $07, $09, $00, $3F, $00, $00, $00</t>
  </si>
  <si>
    <t>$18, $0A, $68,  $39, $07, $09, $00, $3F, $00, $00, $00</t>
  </si>
  <si>
    <t xml:space="preserve">        CDseek        BYTE $18, $0A, $68,  $39, $08, $09, $00, $3F, $00, $00, $00   </t>
  </si>
  <si>
    <t xml:space="preserve">$18, $0A, $68,  $39, $08, $09, $00, $3F, $00, $00, $00   </t>
  </si>
  <si>
    <t>IKE</t>
  </si>
  <si>
    <t>IKE off</t>
  </si>
  <si>
    <t>2a</t>
  </si>
  <si>
    <t>IKE on</t>
  </si>
  <si>
    <t>2B</t>
  </si>
  <si>
    <t>Speed, RPM</t>
  </si>
  <si>
    <t>80 05 BF 18 00 14 36</t>
  </si>
  <si>
    <t>36</t>
  </si>
  <si>
    <t>outside temp, engine temp,</t>
  </si>
  <si>
    <t>80 06 BF 19 30 5D 00 4D</t>
  </si>
  <si>
    <t>19</t>
  </si>
  <si>
    <t>5D</t>
  </si>
  <si>
    <t>Motor running, ?</t>
  </si>
  <si>
    <t>80 0A BF 13 00 00 00 00 00 04 17 35</t>
  </si>
  <si>
    <t>35</t>
  </si>
  <si>
    <t>Turnsig Left Start</t>
  </si>
  <si>
    <t>$D0, $08, $BF, $5B, $20, $00, $04, $00, $00, $18</t>
  </si>
  <si>
    <t>D0</t>
  </si>
  <si>
    <t>5B</t>
  </si>
  <si>
    <t>D0 08 BF 5B 20 00 04 00 00 18</t>
  </si>
  <si>
    <t>Turnsig Right Start</t>
  </si>
  <si>
    <t>$D0, $08, $BF, $5B, $40, $00, $04, $00, $00, $78</t>
  </si>
  <si>
    <t>78</t>
  </si>
  <si>
    <t>D0 08 BF 5B 40 00 04 00 00 78</t>
  </si>
  <si>
    <t>Turnsig Stop</t>
  </si>
  <si>
    <t>$D0, $08, $BF, $5B, $00, $00, $00, $00, $00, $3C</t>
  </si>
  <si>
    <t>D0 08 BF 5B 00 00 00 00 00 3C</t>
  </si>
  <si>
    <t>Turnsig Warn</t>
  </si>
  <si>
    <t>$D0, $08, $BF, $5B, $60, $00, $04, $00, $00, $58</t>
  </si>
  <si>
    <t>60</t>
  </si>
  <si>
    <t>58</t>
  </si>
  <si>
    <t>D0 08 BF 5B 60 00 04 00 00 58</t>
  </si>
  <si>
    <t>Ignition status</t>
  </si>
  <si>
    <t>2D</t>
  </si>
  <si>
    <t>Pos1_Acc Pos2_On Pos3_Start</t>
  </si>
  <si>
    <t>Pos1_Acc Pos2_On</t>
  </si>
  <si>
    <t>From our IKE doing testing</t>
  </si>
  <si>
    <t>IKE sensor status</t>
  </si>
  <si>
    <t>9F</t>
  </si>
  <si>
    <t>9D</t>
  </si>
  <si>
    <t>Vehicle_Driving</t>
  </si>
  <si>
    <t>Read AIS</t>
  </si>
  <si>
    <t>EB</t>
  </si>
  <si>
    <t>Block 02</t>
  </si>
  <si>
    <t>Vehicle data request</t>
  </si>
  <si>
    <t>Message</t>
  </si>
  <si>
    <t xml:space="preserve"> &lt;68 17 80&gt; 23 62 30 &lt;Option&gt; &lt;Text in ASCII Hex&gt; &lt;XOR&gt; </t>
  </si>
  <si>
    <t>23</t>
  </si>
  <si>
    <t>61</t>
  </si>
  <si>
    <t>o</t>
  </si>
  <si>
    <t>r</t>
  </si>
  <si>
    <t>t</t>
  </si>
  <si>
    <t>h</t>
  </si>
  <si>
    <t>e</t>
  </si>
  <si>
    <t>n</t>
  </si>
  <si>
    <t>L</t>
  </si>
  <si>
    <t>I</t>
  </si>
  <si>
    <t xml:space="preserve">35 00 Normal Display </t>
  </si>
  <si>
    <t>Phone</t>
  </si>
  <si>
    <t xml:space="preserve">37 01 red text between two files show </t>
  </si>
  <si>
    <t>c8</t>
  </si>
  <si>
    <t>f4</t>
  </si>
  <si>
    <t>clear screen</t>
  </si>
  <si>
    <t xml:space="preserve"> 37 03 texts between two red, flashing Files Show </t>
  </si>
  <si>
    <t>phone</t>
  </si>
  <si>
    <t>C80580234120</t>
  </si>
  <si>
    <t>Layout=0x41:  Flags=CLS  F0=</t>
  </si>
  <si>
    <t>Send text</t>
  </si>
  <si>
    <t xml:space="preserve"> 37 04 Gong and text between two red, flashing Files Show </t>
  </si>
  <si>
    <t>xx</t>
  </si>
  <si>
    <t>(up to 11 characters)</t>
  </si>
  <si>
    <t>Sample text</t>
  </si>
  <si>
    <t xml:space="preserve"> 37 05 Gong and text display </t>
  </si>
  <si>
    <t>6C</t>
  </si>
  <si>
    <t>6F</t>
  </si>
  <si>
    <t>C80A8023423068656C6C6F</t>
  </si>
  <si>
    <t>Layout=0x42:  Flags=Bit4,CLS  F0="hello"</t>
  </si>
  <si>
    <t>TimeReq</t>
  </si>
  <si>
    <t xml:space="preserve"> 37 08 Gong I (without displaying a message) </t>
  </si>
  <si>
    <t xml:space="preserve"> 37 10 Gong II (without displaying a message) </t>
  </si>
  <si>
    <t>Layout=RadioDisplay  Flags=Bit4,CLS  F0="hello"</t>
  </si>
  <si>
    <t>2E</t>
  </si>
  <si>
    <t>Layout=Average_Speed  Flags=  F0=" 6.9"</t>
  </si>
  <si>
    <t>Layout=Average_Speed  Flags=  F0=" 7.0"</t>
  </si>
  <si>
    <t>Update Text</t>
  </si>
  <si>
    <t>Layout=Consumption_1  Flags=  F0="99.9"</t>
  </si>
  <si>
    <t>5C</t>
  </si>
  <si>
    <t>Layout=Range  Flags=  F0="1180"</t>
  </si>
  <si>
    <t>Layout=Outside_Temp  Flags=  F0="+118"</t>
  </si>
  <si>
    <t>TRY</t>
  </si>
  <si>
    <t>DOESN'T WORK</t>
  </si>
  <si>
    <t>DC</t>
  </si>
  <si>
    <t>(SHOULD BE +100 BUT NOT TRIED)</t>
  </si>
  <si>
    <t>6809802403002B313030</t>
  </si>
  <si>
    <t>new</t>
  </si>
  <si>
    <t>more from propeller</t>
  </si>
  <si>
    <t>'Read Fault:</t>
  </si>
  <si>
    <t xml:space="preserve">4 faults </t>
  </si>
  <si>
    <t>3F 04 D0 04 00 EF</t>
  </si>
  <si>
    <t xml:space="preserve">'Response  </t>
  </si>
  <si>
    <t>D0 04 3F A0 04 4F</t>
  </si>
  <si>
    <t>'Request Block1</t>
  </si>
  <si>
    <t>3F 04 D0 04 01 EE</t>
  </si>
  <si>
    <t>D0 22 3F A0 00 00 00 00 00 00 00 00 00 00 00 00 00 00 00 00 00 00 00 00 00 00 00 00 00 00 00 00 00 00 00 6D</t>
  </si>
  <si>
    <t>Read Fault:</t>
  </si>
  <si>
    <t>3 faults</t>
  </si>
  <si>
    <t>3F 04 00 04 00 3F</t>
  </si>
  <si>
    <t>00 0C 3F A0 03 00 00 3D 03 29 02 30 09 BC</t>
  </si>
  <si>
    <t>3F 04 00 04 01 3E</t>
  </si>
  <si>
    <t>D0 10 80 54 46 50 66 98 90 07 F2 40 EC 00 00 00 11 24</t>
  </si>
  <si>
    <t>'VIN FP66989; Total dist 203,400 kms [126,387 mls]; SI-L 2360 litres since last service; ; SI-T 17 days since last service</t>
  </si>
  <si>
    <t>Speed 0 km/h  [0 mph], 2,000 RPM</t>
  </si>
  <si>
    <t xml:space="preserve">mph := (input[4] * 5 / 8) </t>
  </si>
  <si>
    <t xml:space="preserve">RPM := input[5] * 100 </t>
  </si>
  <si>
    <t>Outside 48°C [118°F], Coolant 93°C [199°F]</t>
  </si>
  <si>
    <t xml:space="preserve">Temp := (input[4] * 9 / 5) + 32   </t>
  </si>
  <si>
    <t xml:space="preserve">Cool Temp := (input[5] * 9 / 5) + 32  </t>
  </si>
  <si>
    <t>Motor Running</t>
  </si>
  <si>
    <t>IHKA (HVAC) control</t>
  </si>
  <si>
    <t>AC on (E46)</t>
  </si>
  <si>
    <t>D5</t>
  </si>
  <si>
    <t>Blue bit is AC status bit bit (80) shows AC status.  Lower bits Load signal.  Shows on Can bus ARBID 0x615 B0 exactly</t>
  </si>
  <si>
    <t>C5</t>
  </si>
  <si>
    <t>AC off (E46)</t>
  </si>
  <si>
    <t>AC on (E39) early</t>
  </si>
  <si>
    <t>83</t>
  </si>
  <si>
    <t>D2</t>
  </si>
  <si>
    <t>8E</t>
  </si>
  <si>
    <t>AC off (E39) early</t>
  </si>
  <si>
    <t>Imobiliser</t>
  </si>
  <si>
    <t>valid key detected</t>
  </si>
  <si>
    <t>8B</t>
  </si>
  <si>
    <t>Key detected?</t>
  </si>
  <si>
    <t>No key detected</t>
  </si>
  <si>
    <t>8F</t>
  </si>
  <si>
    <t>Odomter req</t>
  </si>
  <si>
    <t>$44, $03, $80, $16</t>
  </si>
  <si>
    <t>D1</t>
  </si>
  <si>
    <t>Time Req</t>
  </si>
  <si>
    <t xml:space="preserve">$3B, $05, $80, $41, $01, $01  </t>
  </si>
  <si>
    <t>Sunroof control lock</t>
  </si>
  <si>
    <t>7D</t>
  </si>
  <si>
    <t>C7</t>
  </si>
  <si>
    <t>Door flap status</t>
  </si>
  <si>
    <t>7A</t>
  </si>
  <si>
    <t>2C</t>
  </si>
  <si>
    <t>Source ID</t>
  </si>
  <si>
    <t>Length</t>
  </si>
  <si>
    <t>Dest ID</t>
  </si>
  <si>
    <t>Data</t>
  </si>
  <si>
    <t>XOR CRC</t>
  </si>
  <si>
    <t>ID Hex</t>
  </si>
  <si>
    <t>Location</t>
  </si>
  <si>
    <t>General news 1</t>
  </si>
  <si>
    <t>gm</t>
  </si>
  <si>
    <t>Length is all but first 2 bytes</t>
  </si>
  <si>
    <t>MID1</t>
  </si>
  <si>
    <t>EKM</t>
  </si>
  <si>
    <t>SHD</t>
  </si>
  <si>
    <t>ZKE</t>
  </si>
  <si>
    <t>DME</t>
  </si>
  <si>
    <t>CD player</t>
  </si>
  <si>
    <t>CDC</t>
  </si>
  <si>
    <t>24</t>
  </si>
  <si>
    <t>HKM</t>
  </si>
  <si>
    <t>28</t>
  </si>
  <si>
    <t>FUM</t>
  </si>
  <si>
    <t>CCM</t>
  </si>
  <si>
    <t>SES (voice Command)</t>
  </si>
  <si>
    <t>FBZV</t>
  </si>
  <si>
    <t>MENU SCREEN OR GTF</t>
  </si>
  <si>
    <t>Menu Screen</t>
  </si>
  <si>
    <t>Immobilizer</t>
  </si>
  <si>
    <t>EWS</t>
  </si>
  <si>
    <t>CID</t>
  </si>
  <si>
    <t>FMBT</t>
  </si>
  <si>
    <t>Steering Wheel</t>
  </si>
  <si>
    <t>51</t>
  </si>
  <si>
    <t>MML</t>
  </si>
  <si>
    <t>PDC</t>
  </si>
  <si>
    <t>66</t>
  </si>
  <si>
    <t>AHL</t>
  </si>
  <si>
    <t>RDC</t>
  </si>
  <si>
    <t>SM</t>
  </si>
  <si>
    <t>73</t>
  </si>
  <si>
    <t>SDRS</t>
  </si>
  <si>
    <t>CDCD</t>
  </si>
  <si>
    <t>NAV OR GT</t>
  </si>
  <si>
    <t>Video Module (Nav)</t>
  </si>
  <si>
    <t xml:space="preserve">DIS Unknown </t>
  </si>
  <si>
    <t>IHKA</t>
  </si>
  <si>
    <t>6A</t>
  </si>
  <si>
    <t>DSP</t>
  </si>
  <si>
    <t>GPS Module</t>
  </si>
  <si>
    <t>NAVE</t>
  </si>
  <si>
    <t>9B</t>
  </si>
  <si>
    <t>MMR</t>
  </si>
  <si>
    <t>9C</t>
  </si>
  <si>
    <t>CVM</t>
  </si>
  <si>
    <t>FMID</t>
  </si>
  <si>
    <t>A4</t>
  </si>
  <si>
    <t>ACM</t>
  </si>
  <si>
    <t>A7</t>
  </si>
  <si>
    <t>FHK</t>
  </si>
  <si>
    <t>Unknown</t>
  </si>
  <si>
    <t>NAVC</t>
  </si>
  <si>
    <t>EHC</t>
  </si>
  <si>
    <t>B0</t>
  </si>
  <si>
    <t xml:space="preserve">SES  </t>
  </si>
  <si>
    <t>BB</t>
  </si>
  <si>
    <t>TV Module</t>
  </si>
  <si>
    <t>TV,NAVJ</t>
  </si>
  <si>
    <t>LCM, Global</t>
  </si>
  <si>
    <t xml:space="preserve">LCM </t>
  </si>
  <si>
    <t>C0</t>
  </si>
  <si>
    <t>MID</t>
  </si>
  <si>
    <t>Tel</t>
  </si>
  <si>
    <t>Nav Local</t>
  </si>
  <si>
    <t>D8</t>
  </si>
  <si>
    <t>DA</t>
  </si>
  <si>
    <t>FMAD</t>
  </si>
  <si>
    <t>IRIS</t>
  </si>
  <si>
    <t>E7</t>
  </si>
  <si>
    <t>OBC text line</t>
  </si>
  <si>
    <t>E8</t>
  </si>
  <si>
    <t>ISP</t>
  </si>
  <si>
    <t>ED</t>
  </si>
  <si>
    <t>Seat Mem, LIGHTS, WIPER</t>
  </si>
  <si>
    <t>F0</t>
  </si>
  <si>
    <t>Board MONITOR But</t>
  </si>
  <si>
    <t>F5</t>
  </si>
  <si>
    <t>CSU</t>
  </si>
  <si>
    <t>General news 2</t>
  </si>
  <si>
    <t>GF</t>
  </si>
  <si>
    <t>DIA</t>
  </si>
  <si>
    <t>Radio Reponse via ibus</t>
  </si>
  <si>
    <t>IPOD</t>
  </si>
  <si>
    <t>"button 1"</t>
  </si>
  <si>
    <t>Switching to Mode 4 pauses ipod.</t>
  </si>
  <si>
    <t>"button 2"</t>
  </si>
  <si>
    <t>"button 3"</t>
  </si>
  <si>
    <t>"button 4"</t>
  </si>
  <si>
    <t>"button 5"</t>
  </si>
  <si>
    <t>"button 6"</t>
  </si>
  <si>
    <t>Note does not send if on that CD already.</t>
  </si>
  <si>
    <t>RND</t>
  </si>
  <si>
    <t>to off</t>
  </si>
  <si>
    <t>Play, Random off</t>
  </si>
  <si>
    <t>to on</t>
  </si>
  <si>
    <t>Play, Random on</t>
  </si>
  <si>
    <t>scan</t>
  </si>
  <si>
    <t>to Scan on</t>
  </si>
  <si>
    <t>Play, Random off, scan on</t>
  </si>
  <si>
    <t>if Random on to start</t>
  </si>
  <si>
    <t>Play, Scan on</t>
  </si>
  <si>
    <t>to Scan off</t>
  </si>
  <si>
    <t>Play, Scan off</t>
  </si>
  <si>
    <t>Skip right</t>
  </si>
  <si>
    <t>right</t>
  </si>
  <si>
    <t>skip left</t>
  </si>
  <si>
    <t>left</t>
  </si>
  <si>
    <t>FFWD, Play (Play when released)</t>
  </si>
  <si>
    <t>FRWD, Play (play when released)</t>
  </si>
  <si>
    <t>M</t>
  </si>
  <si>
    <t>Play when pressed twice</t>
  </si>
  <si>
    <t>M if on</t>
  </si>
  <si>
    <t>Right arrow is FFWD, Left FRWD</t>
  </si>
  <si>
    <t>Any radio button</t>
  </si>
  <si>
    <t>stop</t>
  </si>
  <si>
    <t>char rad_cdc_devstatusrequest [] = {0x68, 0x03, 0x18, 0x01, 0x72};</t>
  </si>
  <si>
    <t>5B 05 80 83 00 00 5D</t>
  </si>
  <si>
    <t>AC Off</t>
  </si>
  <si>
    <t>char cdc_rad_devstatready [] = {0x18, 0x04, 0x68, 0x02, 0x00};//, 0x76};</t>
  </si>
  <si>
    <t>5B 05 80 83 80 08 D5</t>
  </si>
  <si>
    <t>AC on</t>
  </si>
  <si>
    <t>5B 05 80 83 C5 00 98</t>
  </si>
  <si>
    <t>char rad_cdc_cdconstrolstop [] = {0x68, 0x05, 0x18, 0x38, 0x01, 0x00,</t>
  </si>
  <si>
    <t>80 05 BF 18 00 00 22</t>
  </si>
  <si>
    <t>RPM</t>
  </si>
  <si>
    <t>0x4C};</t>
  </si>
  <si>
    <t>80 06 BF 19 11 14 00 25</t>
  </si>
  <si>
    <t>Temp</t>
  </si>
  <si>
    <t>char rad_cdc_cdcontrolstatrequest [] = {0x68, 0x05, 0x18, 0x38, 0x00,</t>
  </si>
  <si>
    <t>80 0A BF 13 02 00 00 04 00 00 19 39</t>
  </si>
  <si>
    <t>Key status motor running?</t>
  </si>
  <si>
    <t>0x00, 0x4D};</t>
  </si>
  <si>
    <t>D0 07 BF 5C FF 3F FF 00 0B</t>
  </si>
  <si>
    <t>LCM to Global Light Dimmer</t>
  </si>
  <si>
    <t>char cdc_rad_cdstatstoppause [] = {0x18, 0x0A, 0x68, 0x39, 0x00, 0x02,</t>
  </si>
  <si>
    <t>E8 05 D0 59 11 02 77</t>
  </si>
  <si>
    <t>RLS to LCM Light control Status</t>
  </si>
  <si>
    <t>0x00, 0x3F, 0x00, 0x01, 0x01};//, 0x7E};</t>
  </si>
  <si>
    <t>char rad_cdc_cdcontrolmode7fuct00 [] = {0x68, 0x05, 0x18, 0x38, 0x07,</t>
  </si>
  <si>
    <t>0x00, 0x4A};</t>
  </si>
  <si>
    <t>char cdc_rad_cdstatplaypause [] = {0x18, 0x0A, 0x68, 0x39, 0x02, 0x02,</t>
  </si>
  <si>
    <t>0x00, 0x3F, 0x00, 0x01, 0x01};//, 0x7C};</t>
  </si>
  <si>
    <t>char rad_cdc_cdcontrolrandomoff [] = {0x68, 0x05, 0x18, 0x38, 0x08,</t>
  </si>
  <si>
    <t>0x00, 0x45};</t>
  </si>
  <si>
    <t>char rad_cdc_cdcontrolplay [] = {0x68, 0x05, 0x18, 0x38, 0x03, 0x00, 0x4E};</t>
  </si>
  <si>
    <t>char cdc_rad_cdstatplayplay [] = {0x18, 0x0A, 0x68, 0x39, 0x02, 0x09,</t>
  </si>
  <si>
    <t>0x00, 0x3F, 0x00, 0x01, 0x01};//, 0x77};</t>
  </si>
  <si>
    <t>char tel_ike_clrscr [] = {0xc8, 0x05, 0x80, 0x23, 0x41, 0x20};</t>
  </si>
  <si>
    <t>char mfl_rad_minus [] = {0x50, 0x04, 0x68, 0x32, 0x10};</t>
  </si>
  <si>
    <t>char mfl_rad_plus [] = {0x50, 0x04, 0x68, 0x32, 0x11};</t>
  </si>
  <si>
    <t>char mfl_rad_pushfwd [] = {0x50, 0x04, 0x68, 0x3B, 0x01};</t>
  </si>
  <si>
    <t>char mfl_rad_relfwd [] = {0x50, 0x04, 0x68, 0x3B, 0x21};</t>
  </si>
  <si>
    <t>char mfl_rad_pushbwd [] = {0x50, 0x04, 0x68, 0x3B, 0x08};</t>
  </si>
  <si>
    <t>char mfl_rad_relbwd [] = {0x50, 0x04, 0x68, 0x3B, 0x28};</t>
  </si>
  <si>
    <t>//char mfl_rad_rt [] = {0x50, 0x03, 0xC8, 0x01}; //0x9A</t>
  </si>
  <si>
    <t>char mfl_rad_speakpush [] = {0x50, 0x04, 0xC8, 0x3B, 0x80}; //27</t>
  </si>
  <si>
    <t>char mfl_rad_speakrelease [] = {0x50, 0x04, 0xC8, 0x3B, 0xA0}; //0x07</t>
  </si>
  <si>
    <t>char mfl_rad_speakhold [] = {0x50, 0x04, 0xC8, 0x3B, 0x90}; //0x37</t>
  </si>
  <si>
    <t>char turnsig_left_start [] = {0xD0, 0x08, 0xBF, 0x5B, 0x20, 0x00, 0x04,</t>
  </si>
  <si>
    <t>0x00, 0x00}; //18</t>
  </si>
  <si>
    <t>char turnsig_right_start [] = {0xD0, 0x08, 0xBF, 0x5B, 0x40, 0x00, 0x04,</t>
  </si>
  <si>
    <t>0x00, 0x00}; //0x78</t>
  </si>
  <si>
    <t>char turnsig_stop [] = {0xD0, 0x08, 0xBF, 0x5B, 0x00, 0x00, 0x00,</t>
  </si>
  <si>
    <t>0x00, 0x00}; //3C</t>
  </si>
  <si>
    <t>char turnsig_warn [] = {0xD0, 0x08, 0xBF, 0x5B, 0x60, 0x00, 0x04,</t>
  </si>
  <si>
    <t>0x00, 0x00}; //0x58</t>
  </si>
  <si>
    <t>char lightsig_highbeam [] = {0xD0, 0x08, 0xBF, 0x5B, 0x04, 0x00, 0x00,</t>
  </si>
  <si>
    <t>0x00, 0x00}; //0x38</t>
  </si>
  <si>
    <t>char ike_lcm_currentSpeedRPM [] = {0x80, 0x05, 0xBF, 0x18}; //not the</t>
  </si>
  <si>
    <t>complete message, just the first part due to comparison</t>
  </si>
  <si>
    <t>char ike_lcm_temperatures [] = {0x80, 0x06, 0xBF, 0x19}; //not the</t>
  </si>
  <si>
    <t>complete message</t>
  </si>
  <si>
    <t>char ike_lcm_klemmeR [] = {0x80, 0x04, 0xBF, 0x11, 0x01};// 0x2B</t>
  </si>
  <si>
    <t>char unk_lcm_keyinsert [] = {0x44, 0x05, 0xBF, 0x74, 0x04, 0x01}; //0x8F</t>
  </si>
  <si>
    <t>//Key 1 inserted</t>
  </si>
  <si>
    <t>char unk_lcm_keyremove [] = {0x44, 0x05, 0xBF, 0x74, 0x00, 0xFF}; //75</t>
  </si>
  <si>
    <t>//Key removed</t>
  </si>
  <si>
    <t>char dis_lcm_foglights [] = {0x3F, 0x0B, 0xBF, 0x0C, 0x00, 0x00, 0x00,</t>
  </si>
  <si>
    <t>0x00, 0x00, 0x00, 0x01, 0x06};</t>
  </si>
  <si>
    <t>char dis_glo_opentrunk [] = {0x3f, 0x05, 0x00, 0x0c, 0x02, 0x01};</t>
  </si>
  <si>
    <t>char dis_lcm_lefttaillight [] = {0x3F, 0x0B, 0xBF, 0x0c, 0x00, 0x00,</t>
  </si>
  <si>
    <t>0x00, 0x00, 0x00, 0x40, 0x00, 0x06};</t>
  </si>
  <si>
    <t>char dis_lcm_righttaillight [] = {0x3F, 0x0B, 0xBF, 0x0C, 0x00, 0x00,</t>
  </si>
  <si>
    <t>0x00, 0x00, 0x00, 0x00, 0x08, 0x0C};</t>
  </si>
  <si>
    <t>char glo_all_unlock [] = {0x00, 0x04, 0xBF, 0x72, 0x22, 0xEB};</t>
  </si>
  <si>
    <t xml:space="preserve">E46 IBUS codes </t>
  </si>
  <si>
    <t xml:space="preserve"> All codes tested on a E46 318ti </t>
  </si>
  <si>
    <t xml:space="preserve"> Bf 7d 00 05 00 30 f7 - Open sunroof and possibly unlock </t>
  </si>
  <si>
    <t xml:space="preserve"> Bf 7d 00 05 00 20 chk - Open sunroof and lock </t>
  </si>
  <si>
    <t xml:space="preserve"> Close sunroof and possibly unlock - 00 05 00 70 bf bf 7d </t>
  </si>
  <si>
    <t xml:space="preserve"> Bf 7d 00 05 00 60 chk - close sunroof and lock </t>
  </si>
  <si>
    <t xml:space="preserve"> Bf 7d 00 05 00 00 chk - sliding lock </t>
  </si>
  <si>
    <t xml:space="preserve"> Bf 7d 00 05 00 10 chk - sliding unlock </t>
  </si>
  <si>
    <t xml:space="preserve"> 3f 05 00 0c 7e 01 chk - sunroof open a piece </t>
  </si>
  <si>
    <t xml:space="preserve"> 3f 05 00 0c 7f 01 chk - sunroof close a piece </t>
  </si>
  <si>
    <t xml:space="preserve"> 3f 05 00 0c 52 01 chk - open driver's side front window a piece </t>
  </si>
  <si>
    <t xml:space="preserve"> 3f 05 00 0c 53 01 chk - windows on the front driver's side close a piece </t>
  </si>
  <si>
    <t xml:space="preserve"> 3f 05 00 0c 54 01 chk - windows on the front passenger side of a piece of open </t>
  </si>
  <si>
    <t xml:space="preserve"> 3f 05 00 0c 55 01 chk - windows on the front passenger side of a piece of close </t>
  </si>
  <si>
    <t xml:space="preserve"> 3f 05 00 0c 41 01 chk - open driver's side rear window a piece </t>
  </si>
  <si>
    <t xml:space="preserve"> 3f 05 00 0c 42 01 chk - windows schlißen rear driver's side a little </t>
  </si>
  <si>
    <t xml:space="preserve"> 3f 05 00 0c 44 01 chk - windows open rear passenger side of a piece of </t>
  </si>
  <si>
    <t xml:space="preserve"> 3f 05 00 0c 43 01 chk - windows schlißen rear passenger side of a piece of </t>
  </si>
  <si>
    <t xml:space="preserve"> Bf 80 04 11 00 2a - Innenraumbel.  dimming </t>
  </si>
  <si>
    <t xml:space="preserve"> 3f 05 00 0c 01 01 chk - Innenraumbel.  turn off </t>
  </si>
  <si>
    <t xml:space="preserve"> 3f 05 00 0c 30 01 chk -?  + Innenraumbel.  dimming </t>
  </si>
  <si>
    <t xml:space="preserve"> 3f 05 00 0c 60 01 chk - Innenraumbel.  turn on for 3 seconds (no fade) </t>
  </si>
  <si>
    <t xml:space="preserve"> 3f 05 00 0c 68 01 chk - Innenraumbel.  off and dim </t>
  </si>
  <si>
    <t xml:space="preserve"> 3f 05 00 0c 03 01 chk - Doors seduce / unlock (such as button pressed @ Interior) </t>
  </si>
  <si>
    <t xml:space="preserve"> 3f 05 00 0c 34 01 chk - doors lock (as with key pressed) </t>
  </si>
  <si>
    <t xml:space="preserve"> 3f 05 00 0c 46 01 chk - doors + fuel cap hardlock, open trunk </t>
  </si>
  <si>
    <t xml:space="preserve"> 3f 05 00 0c 47 01 chk - driver's door lock (door handle can be difficult to pull) </t>
  </si>
  <si>
    <t xml:space="preserve"> 3f 05 00 0c 4f 01 chk - all doors except driver's door lock </t>
  </si>
  <si>
    <t xml:space="preserve"> 3f 05 00 0c 97 01 chk - doors lock (hardlock) </t>
  </si>
  <si>
    <t xml:space="preserve"> 3f 05 00 0c 02 01 chk - trunk open </t>
  </si>
  <si>
    <t xml:space="preserve"> Open the trunk (again) - 3f 05 00 0c 05 01 chk </t>
  </si>
  <si>
    <t xml:space="preserve"> Open the trunk (again) - 3f 05 00 0c 95 01 chk </t>
  </si>
  <si>
    <t xml:space="preserve"> 3f 05 00 0c 49 01 chk - Windshield wipers front </t>
  </si>
  <si>
    <t xml:space="preserve"> 3f 05 00 0c 62 01 chk - Windshield washer front spraying </t>
  </si>
  <si>
    <t xml:space="preserve"> 0x 00 04 bf 76 chk - Flashing: 2 = warning lights, 4 = low beam, high beam 8 = </t>
  </si>
  <si>
    <t xml:space="preserve">08 00 04 bf 76 </t>
  </si>
  <si>
    <t xml:space="preserve"> 3f 05 00 0c 70 01 chk - hazard lights (IKE + LCM) + Innenraumbel.  dim </t>
  </si>
  <si>
    <t xml:space="preserve"> 3f 05 00 0c 75 01 chk - hazard lights (LCM) for 3 seconds </t>
  </si>
  <si>
    <t xml:space="preserve"> 3f 0b BF 0c 00 00 00 00 00 00 01 06 chk - Fog </t>
  </si>
  <si>
    <t xml:space="preserve"> 3f 0b BF 0c 00 00 00 00 00 40 00 06 chk - left tail light (+ A) </t>
  </si>
  <si>
    <t xml:space="preserve"> 3f 0b BF 0c 00 00 00 00 00 00 08 0c chk - rear light (+ A) </t>
  </si>
  <si>
    <t xml:space="preserve"> 3f 0b BF 0c 00 00 00 00 01 00 00 06 chk - brake light above </t>
  </si>
  <si>
    <t xml:space="preserve"> 3f 0b BF 0c 00 00 00 00 08 00 00 06 chk - brake light left (+ A) </t>
  </si>
  <si>
    <t xml:space="preserve"> 3f 0b BF 0c 00 00 00 00 10 00 00 06 chk - Brake Light Right (+ A) </t>
  </si>
  <si>
    <t xml:space="preserve"> 3f 0b BF 0c 00 00 00 00 00 02 00 06 chk - front right low beam </t>
  </si>
  <si>
    <t xml:space="preserve"> 3f 0b BF 0c 00 00 00 00 00 04 00 06 chk - low beam, front left </t>
  </si>
  <si>
    <t xml:space="preserve"> 3f 0b BF 0c 10 00 00 00 00 00 00 06 chk - low beam delayed front + rear </t>
  </si>
  <si>
    <t xml:space="preserve"> 3f 0b BF 0c 00 00 00 00 00 10 00 06 chk - Main beam left + low beams on both sides </t>
  </si>
  <si>
    <t xml:space="preserve"> 3f 0b BF 0c 00 00 00 00 00 20 00 06 chk - high beams on both sides of the right low beam + </t>
  </si>
  <si>
    <t xml:space="preserve"> 3f 0b BF 0c 00 00 80 00 00 00 00 06 chk - ignition at low beam + beam (IKE + LCM) </t>
  </si>
  <si>
    <t xml:space="preserve"> 3f 0b BF 0c 00 00 00 00 00 00 20 06 chk - Left Rear lights continuously (+ A) </t>
  </si>
  <si>
    <t xml:space="preserve"> 3f 0b BF 0c 00 00 00 00 00 00 80 06 chk - Right rear turn signal lights continuously (+ A) </t>
  </si>
  <si>
    <t xml:space="preserve"> 3f 0b BF 0c 00 00 00 00 20 00 00 06 (A1)chk - left front turn signal lights continuously (+ A) </t>
  </si>
  <si>
    <t xml:space="preserve"> 3f 0b BF 0c 00 00 00 00 40 00 00 06 chk - Indicator lights permanently front right (+ A) </t>
  </si>
  <si>
    <t xml:space="preserve"> 3f 0b BF 0c 00 00 00 40 00 00 00 06 chk - left parking light </t>
  </si>
  <si>
    <t xml:space="preserve"> 3f 0b BF 0c 00 00 00 80 00 00 00 06 chk - right parking light </t>
  </si>
  <si>
    <t xml:space="preserve"> 3f 0b BF 0c 20 00 00 00 00 00 00 06 chk - hazard lights </t>
  </si>
  <si>
    <t xml:space="preserve"> 3b 0a 05 80 41 10 chk - average speed delete </t>
  </si>
  <si>
    <t xml:space="preserve"> bf 03 80 16 2a - Request mileage </t>
  </si>
  <si>
    <t xml:space="preserve"> 3b 06 80 40 09 00 xx chk - speed limit set (beep is exceeded) </t>
  </si>
  <si>
    <t xml:space="preserve"> 3b 05 80 41 09 20 chk - speed limit set on current speed </t>
  </si>
  <si>
    <t xml:space="preserve"> 3b 05 80 41 09 08 chk - Disable adjusted speed limit </t>
  </si>
  <si>
    <t xml:space="preserve"> </t>
  </si>
  <si>
    <t xml:space="preserve"> Received codes: </t>
  </si>
  <si>
    <t xml:space="preserve"> Bf 44 05 74 04 xx chk - key inserted xx </t>
  </si>
  <si>
    <t xml:space="preserve"> 44 05 74 00 ff bf chk - removed key </t>
  </si>
  <si>
    <t xml:space="preserve"> Pressed close button on remote control - 00 04 72 16 bf df </t>
  </si>
  <si>
    <t xml:space="preserve"> 00 04 72 26 bf ef - pushed open button on remote control </t>
  </si>
  <si>
    <t xml:space="preserve"> Bf 00 04 72 06 cf - release button on remote control </t>
  </si>
  <si>
    <t xml:space="preserve"> Bf 18 80 05 xx yy chk - xx = speed / 2, yy = Drehzahl/100, message every 2 seconds </t>
  </si>
  <si>
    <t xml:space="preserve"> All codes from the transmitting address 3f are only a few seconds active.  This means that for example, a window is not completely going in, but only to a certain extent. </t>
  </si>
  <si>
    <t xml:space="preserve"> XOR calculation: </t>
  </si>
  <si>
    <t xml:space="preserve"> Individually each byte (including sender, length, receiver, data) XORing each bit individually. </t>
  </si>
  <si>
    <t xml:space="preserve"> -&gt; XOR for the initial calculation of "00" to be! </t>
  </si>
  <si>
    <t xml:space="preserve"> A little online tool to calculate the checksum can be found here . </t>
  </si>
  <si>
    <t xml:space="preserve"> (Chk - XOR checksum) </t>
  </si>
  <si>
    <t>http://ibus.stuge.se/IBus_Messages</t>
  </si>
  <si>
    <t xml:space="preserve">SUCCESS!!! (Writing to the BMW E46 display cluster) </t>
  </si>
  <si>
    <t>I have for some time no wanted to write text to the E46 (low) cluster to advertise speedcameras (speedlimit and distance) using for example "GATSOHunter" and "RoadRunner"</t>
  </si>
  <si>
    <t>My thought was to have the arrows flashing to draw your attention to the cluster, and then present the current speedlimit followed by the distance to the speedcamera (GATSO).</t>
  </si>
  <si>
    <t>After some digging through the web I have understood that writing to the E46 (low) cluster is not possible... WRONG!!!</t>
  </si>
  <si>
    <t xml:space="preserve">Now I have finally succeeded to do just that... </t>
  </si>
  <si>
    <t>The clue is that it MIGHT not be possible to DIRECTLY write text to the alphanumeric display, but use it's pre-defined messages kind of...</t>
  </si>
  <si>
    <t>There are afaik 3 different types of messages that can be displayed:</t>
  </si>
  <si>
    <t>-Distances in meters or feet</t>
  </si>
  <si>
    <t>-Speeds in km/h or mph</t>
  </si>
  <si>
    <t>-Temperature in degrees Celsius or Farenheit</t>
  </si>
  <si>
    <t>Maby it's possible to write "plain" text as well, this I don't know at the moment.</t>
  </si>
  <si>
    <t>Today I logged the following _DISTANCE_ codes and tested to write them back to the cluster with success:</t>
  </si>
  <si>
    <t>_HEX codes WITH checksum attached!_</t>
  </si>
  <si>
    <t>7F 05 80 44 29 30 A7 &lt;--- 300m</t>
  </si>
  <si>
    <t>7F 05 80 44 29 25 B2 &lt;--- 250m</t>
  </si>
  <si>
    <t>...</t>
  </si>
  <si>
    <t>7F 05 80 44 29 10 87 &lt;--- 100m</t>
  </si>
  <si>
    <t>7F 05 80 44 21 90 0F &lt;--- 90m</t>
  </si>
  <si>
    <t>7F 05 80 44 21 80 1F &lt;--- 80m</t>
  </si>
  <si>
    <t>7F 05 80 44 21 70 EF &lt;--- 70m</t>
  </si>
  <si>
    <t>7F 05 80 44 21 60 FF &lt;--- 60m</t>
  </si>
  <si>
    <t>7F 05 80 44 21 50 CF &lt;--- 50m</t>
  </si>
  <si>
    <t>7F 05 80 44 21 10 8F &lt;--- 10m</t>
  </si>
  <si>
    <t>7F 05 80 44 21 00 9F &lt;--- 0m</t>
  </si>
  <si>
    <t>7F 05 80 44 20 00 9E &lt;--- CLEAR DISPLAY? (this was the last code logged from the GPS -&gt; IKE</t>
  </si>
  <si>
    <t>Here the GPS (7F) is the source and the IKE (80) is destination.</t>
  </si>
  <si>
    <t>The first DATA byte, (the fourth byte in the string) seem to be the code for "distance display". That is the "m" is displayed after the data in the display.</t>
  </si>
  <si>
    <t>The second DATA byte, (the fifth byte in the string) it is used to distinguish between 100's and 10's.</t>
  </si>
  <si>
    <t xml:space="preserve">The third DATA byte, (the sixth byte in the string) is the actual distance data. </t>
  </si>
  <si>
    <t>I have logged codes for speedlimits as well, but I have lost that log. I'm pretty sure that the format is very similar, but with another hexcode for the FIRST databyte to put the display in "speedmode" for example.</t>
  </si>
  <si>
    <t>Will test "speeddata" tomorrow...</t>
  </si>
  <si>
    <t>Kind regards</t>
  </si>
  <si>
    <t xml:space="preserve">Marc in Norway </t>
  </si>
  <si>
    <t>(REMEMBER, THESE CODES ARE FOR AN E46. THE CODES ARE TRIED ON MY 330d ONLY! EVERY OTHER CAR MIGHT DIE OR GET SOME KIND OF NASTY DISEASE IF THESE CODES ARE TRIED!!!)</t>
  </si>
  <si>
    <t>Following example codes should be pretty easy to understand:</t>
  </si>
  <si>
    <t>80 09 FF 24 09 00 32 31 30 20 cs SET SPEEDLIMIT TO "210"</t>
  </si>
  <si>
    <t>80 09 FF 24 09 00 20 39 30 20 cs SET SPEEDLIMIT TO "90"</t>
  </si>
  <si>
    <t>80 09 FF 24 09 00 20 35 30 20 cs SET SPEEDLIMIT TO "50"</t>
  </si>
  <si>
    <t>80 09 FF 24 09 00 20 31 39 20 cs SET SPEEDLIMIT TO "19"</t>
  </si>
  <si>
    <t>80 09 FF 24 09 00 20 31 30 20 cs SET SPEEDLIMIT TO "10"</t>
  </si>
  <si>
    <t>80 09 FF 24 09 00 20 20 36 20 cs SET SPEEDLIMIT TO "6"</t>
  </si>
  <si>
    <t xml:space="preserve">-----------------| speed |----- </t>
  </si>
  <si>
    <t>FOURTH, FIFTH and SIXTH _DATA_ byte holds the speed.</t>
  </si>
  <si>
    <t>30h = 0, 31h = 1, 32h = 2, 39h = 9 etc</t>
  </si>
  <si>
    <t>20h = BLANK</t>
  </si>
  <si>
    <t>3B 05 80 41 09 04 cs ACTIVATE SPEEDLIMIT in OBC</t>
  </si>
  <si>
    <t>3B 05 80 41 09 08 cs DE-ACTIVITE SPEELIMIT in OBC</t>
  </si>
  <si>
    <t>http://www.bmwgm5.com/IBUS.htm</t>
  </si>
  <si>
    <t>Device</t>
  </si>
  <si>
    <t>IBUS</t>
  </si>
  <si>
    <t>Volume +</t>
  </si>
  <si>
    <t>0xAD/0x52</t>
  </si>
  <si>
    <t>0x0A/0xF5</t>
  </si>
  <si>
    <t>50 04 68 32 11 1F(Vol+)</t>
  </si>
  <si>
    <t>Volume -</t>
  </si>
  <si>
    <t>0x0B/0xF4</t>
  </si>
  <si>
    <t>50 04 68 32 10 1E(Vol-)</t>
  </si>
  <si>
    <t>Band</t>
  </si>
  <si>
    <t>0x12/0xED</t>
  </si>
  <si>
    <t>Mute</t>
  </si>
  <si>
    <t>0x0C/0xF3</t>
  </si>
  <si>
    <t>50 04 68 3B 80 27(Dial)</t>
  </si>
  <si>
    <t>Up</t>
  </si>
  <si>
    <t>0x40/0xBF</t>
  </si>
  <si>
    <t>Down</t>
  </si>
  <si>
    <t>0x41/0xBE</t>
  </si>
  <si>
    <t>Left</t>
  </si>
  <si>
    <t>0x42/0xBD</t>
  </si>
  <si>
    <t>50 04 68 3B 08 0F (Prev)</t>
  </si>
  <si>
    <t>Right</t>
  </si>
  <si>
    <t>0x43/0xBC</t>
  </si>
  <si>
    <t>50 04 68 3B 01 06(Next)</t>
  </si>
  <si>
    <t>Function</t>
  </si>
  <si>
    <t>0x19/0xE6</t>
  </si>
  <si>
    <t>Audio</t>
  </si>
  <si>
    <t>0x0D/0xF2</t>
  </si>
  <si>
    <t>0x1E/0xE1</t>
  </si>
  <si>
    <t>0x58/0xA7</t>
  </si>
  <si>
    <t>Tuner</t>
  </si>
  <si>
    <t>0x1C/0xE3</t>
  </si>
  <si>
    <t>IBUS Message (Hex)</t>
  </si>
  <si>
    <t>Includes check sum</t>
  </si>
  <si>
    <t>50 04 68 32 10 1E</t>
  </si>
  <si>
    <t>50 04 68 32 11 1F</t>
  </si>
  <si>
    <t>Next (Pressed)</t>
  </si>
  <si>
    <t>50 04 68 3B 01 06</t>
  </si>
  <si>
    <t>skip</t>
  </si>
  <si>
    <t>Previous (Pressed)</t>
  </si>
  <si>
    <t>50 04 68 3B 08 0F</t>
  </si>
  <si>
    <t>previous</t>
  </si>
  <si>
    <t>Next (1 Second)</t>
  </si>
  <si>
    <t>50 04 68 3B 11 16</t>
  </si>
  <si>
    <t>FFW</t>
  </si>
  <si>
    <t>Next (Released)</t>
  </si>
  <si>
    <t>50 04 68 3B 21 26</t>
  </si>
  <si>
    <t>Previous (1 Second)</t>
  </si>
  <si>
    <t>50 04 68 3B 18 1F</t>
  </si>
  <si>
    <t>Previous (Released)</t>
  </si>
  <si>
    <t>50 04 68 3B 28 2F</t>
  </si>
  <si>
    <t>R/T</t>
  </si>
  <si>
    <t>50 03 C8 01 9A</t>
  </si>
  <si>
    <t>Dial (Pressed)</t>
  </si>
  <si>
    <t>50 04 C8 3B 80 27</t>
  </si>
  <si>
    <t>Dial (1 Second)</t>
  </si>
  <si>
    <t>50 04 C8 3B 90 37</t>
  </si>
  <si>
    <t>Dial (Released)</t>
  </si>
  <si>
    <t>50 04 C8 3B A0 07</t>
  </si>
  <si>
    <t xml:space="preserve">The third bit in the Ibus message </t>
  </si>
  <si>
    <t>70 03 80 00 F3</t>
  </si>
  <si>
    <t>Cmd_0x00</t>
  </si>
  <si>
    <t>70 03 80 01 F2</t>
  </si>
  <si>
    <t>Device status request</t>
  </si>
  <si>
    <t>70 03 80 02 F1</t>
  </si>
  <si>
    <t>Device status ready</t>
  </si>
  <si>
    <t>70 03 80 03 F0</t>
  </si>
  <si>
    <t>Bus status request</t>
  </si>
  <si>
    <t>70 03 80 04 F7</t>
  </si>
  <si>
    <t>Bus status</t>
  </si>
  <si>
    <t>70 03 80 05 F6</t>
  </si>
  <si>
    <t>Backlight Control</t>
  </si>
  <si>
    <t>70 03 80 06 F5</t>
  </si>
  <si>
    <t>Identification</t>
  </si>
  <si>
    <t>70 03 80 07 F4</t>
  </si>
  <si>
    <t>Gong status</t>
  </si>
  <si>
    <t>70 03 80 08 FB</t>
  </si>
  <si>
    <t>Cmd_0x08</t>
  </si>
  <si>
    <t>70 03 80 09 FA</t>
  </si>
  <si>
    <t>Cmd_0x09</t>
  </si>
  <si>
    <t>70 03 80 0A F9</t>
  </si>
  <si>
    <t>Cmd_0x0A</t>
  </si>
  <si>
    <t>70 03 80 0B F8</t>
  </si>
  <si>
    <t>Cmd_0x0B</t>
  </si>
  <si>
    <t>70 03 80 0C FF</t>
  </si>
  <si>
    <t>Vehicle control</t>
  </si>
  <si>
    <t>70 03 80 0D FE</t>
  </si>
  <si>
    <t>Cmd_0x0D</t>
  </si>
  <si>
    <t>70 03 80 0E FD</t>
  </si>
  <si>
    <t>Cmd_0x0E</t>
  </si>
  <si>
    <t>70 03 80 0F FC</t>
  </si>
  <si>
    <t>Cmd_0x0F</t>
  </si>
  <si>
    <t>70 03 80 10 E3</t>
  </si>
  <si>
    <t>Ignition status request</t>
  </si>
  <si>
    <t>70 03 80 11 E2</t>
  </si>
  <si>
    <t>70 03 80 12 E1</t>
  </si>
  <si>
    <t>IKE sensor status request</t>
  </si>
  <si>
    <t>70 03 80 13 E0</t>
  </si>
  <si>
    <t>70 03 80 14 E7</t>
  </si>
  <si>
    <t>Country coding status request</t>
  </si>
  <si>
    <t>70 03 80 15 E6</t>
  </si>
  <si>
    <t>Country coding status</t>
  </si>
  <si>
    <t>70 03 80 16 E5</t>
  </si>
  <si>
    <t>Odometer request</t>
  </si>
  <si>
    <t>70 03 80 17 E4</t>
  </si>
  <si>
    <t>Odometer</t>
  </si>
  <si>
    <t>70 03 80 18 EB</t>
  </si>
  <si>
    <t>Speed/RPM</t>
  </si>
  <si>
    <t>70 03 80 19 EA</t>
  </si>
  <si>
    <t>Temperature</t>
  </si>
  <si>
    <t>70 03 80 1A E9</t>
  </si>
  <si>
    <t>IKE Text/Gong</t>
  </si>
  <si>
    <t>70 03 80 1B E8</t>
  </si>
  <si>
    <t>IKE text status</t>
  </si>
  <si>
    <t>70 03 80 1C EF</t>
  </si>
  <si>
    <t>Gong</t>
  </si>
  <si>
    <t>70 03 80 1D EE</t>
  </si>
  <si>
    <t>Temperature request</t>
  </si>
  <si>
    <t>70 03 80 1E ED</t>
  </si>
  <si>
    <t>Cmd_0x1E</t>
  </si>
  <si>
    <t>70 03 80 1F EC</t>
  </si>
  <si>
    <t>Time &amp; date</t>
  </si>
  <si>
    <t>70 03 80 20 D3</t>
  </si>
  <si>
    <t>Display status</t>
  </si>
  <si>
    <t>70 03 80 21 D2</t>
  </si>
  <si>
    <t>Menu Text</t>
  </si>
  <si>
    <t>70 03 80 22 D1</t>
  </si>
  <si>
    <t>Text display confirmation</t>
  </si>
  <si>
    <t>70 03 80 23 D0</t>
  </si>
  <si>
    <t>Display Text</t>
  </si>
  <si>
    <t>70 03 80 24 D7</t>
  </si>
  <si>
    <t>70 03 80 25 D6</t>
  </si>
  <si>
    <t>Cmd_0x25</t>
  </si>
  <si>
    <t>70 03 80 26 D5</t>
  </si>
  <si>
    <t>Cmd_0x26</t>
  </si>
  <si>
    <t>70 03 80 27 D4</t>
  </si>
  <si>
    <t>MID display request</t>
  </si>
  <si>
    <t>70 03 80 28 DB</t>
  </si>
  <si>
    <t>MID denied access</t>
  </si>
  <si>
    <t>70 03 80 29 DA</t>
  </si>
  <si>
    <t>Report MID display</t>
  </si>
  <si>
    <t>70 03 80 2A D9</t>
  </si>
  <si>
    <t>On-board computer special indicators</t>
  </si>
  <si>
    <t>70 03 80 2B D8</t>
  </si>
  <si>
    <t>Telephone indicators</t>
  </si>
  <si>
    <t>70 03 80 2C DF</t>
  </si>
  <si>
    <t>Telephone status</t>
  </si>
  <si>
    <t>70 03 80 2D DE</t>
  </si>
  <si>
    <t>Telephone number</t>
  </si>
  <si>
    <t>70 03 80 2E DD</t>
  </si>
  <si>
    <t>Cmd_0x2E</t>
  </si>
  <si>
    <t>70 03 80 2F DC</t>
  </si>
  <si>
    <t>Cmd_0x2F</t>
  </si>
  <si>
    <t>70 03 80 30 C3</t>
  </si>
  <si>
    <t>Cmd_0x30</t>
  </si>
  <si>
    <t>70 03 80 31 C2</t>
  </si>
  <si>
    <t>70 03 80 32 C1</t>
  </si>
  <si>
    <t>Volume Control</t>
  </si>
  <si>
    <t>70 03 80 33 C0</t>
  </si>
  <si>
    <t>Part number status</t>
  </si>
  <si>
    <t>70 03 80 34 C7</t>
  </si>
  <si>
    <t>DSP equaliser button</t>
  </si>
  <si>
    <t>70 03 80 35 C6</t>
  </si>
  <si>
    <t>Car memory response</t>
  </si>
  <si>
    <t>70 03 80 36 C5</t>
  </si>
  <si>
    <t>Audio_control</t>
  </si>
  <si>
    <t>70 03 80 37 C4</t>
  </si>
  <si>
    <t>Select Menu</t>
  </si>
  <si>
    <t>70 03 80 38 CB</t>
  </si>
  <si>
    <t>70 03 80 39 CA</t>
  </si>
  <si>
    <t>CD_status</t>
  </si>
  <si>
    <t>70 03 80 3A C9</t>
  </si>
  <si>
    <t>Recirculating air control</t>
  </si>
  <si>
    <t>70 03 80 3B C8</t>
  </si>
  <si>
    <t>Radio/Telephone control</t>
  </si>
  <si>
    <t>70 03 80 3C CF</t>
  </si>
  <si>
    <t>DSP preset sound patterns</t>
  </si>
  <si>
    <t>70 03 80 3D CE</t>
  </si>
  <si>
    <t>Cmd_0x3D</t>
  </si>
  <si>
    <t>70 03 80 3E CD</t>
  </si>
  <si>
    <t>Cmd_0x3E</t>
  </si>
  <si>
    <t>70 03 80 3F CC</t>
  </si>
  <si>
    <t>Cmd_0x3F</t>
  </si>
  <si>
    <t>70 03 80 40 B3</t>
  </si>
  <si>
    <t>On-board computer set data</t>
  </si>
  <si>
    <t>70 03 80 41 B2</t>
  </si>
  <si>
    <t>On-board computer data request</t>
  </si>
  <si>
    <t>70 03 80 42 B1</t>
  </si>
  <si>
    <t>On-board computer scroll</t>
  </si>
  <si>
    <t>70 03 80 43 B0</t>
  </si>
  <si>
    <t>Mono display</t>
  </si>
  <si>
    <t>70 03 80 44 B7</t>
  </si>
  <si>
    <t>E46 IKE text</t>
  </si>
  <si>
    <t>70 03 80 45 B6</t>
  </si>
  <si>
    <t>Radio status request</t>
  </si>
  <si>
    <t>70 03 80 46 B5</t>
  </si>
  <si>
    <t>LCD clear</t>
  </si>
  <si>
    <t>70 03 80 47 B4</t>
  </si>
  <si>
    <t>BM Status</t>
  </si>
  <si>
    <t>70 03 80 48 BB</t>
  </si>
  <si>
    <t>BM Button</t>
  </si>
  <si>
    <t>70 03 80 49 BA</t>
  </si>
  <si>
    <t>BM_Knob</t>
  </si>
  <si>
    <t>70 03 80 4A B9</t>
  </si>
  <si>
    <t>Cassette control</t>
  </si>
  <si>
    <t>70 03 80 4B B8</t>
  </si>
  <si>
    <t>Cassette status</t>
  </si>
  <si>
    <t>70 03 80 4C BF</t>
  </si>
  <si>
    <t>Cmd_0x4C</t>
  </si>
  <si>
    <t>70 03 80 4D BE</t>
  </si>
  <si>
    <t>Cmd_0x4D</t>
  </si>
  <si>
    <t>70 03 80 4E BD</t>
  </si>
  <si>
    <t>Audio source selection</t>
  </si>
  <si>
    <t>70 03 80 4F BC</t>
  </si>
  <si>
    <t>RGB control</t>
  </si>
  <si>
    <t>70 03 80 50 A3</t>
  </si>
  <si>
    <t>Checkcontrol sensor request</t>
  </si>
  <si>
    <t>70 03 80 51 A2</t>
  </si>
  <si>
    <t>Checkcontrol sensors</t>
  </si>
  <si>
    <t>70 03 80 52 A1</t>
  </si>
  <si>
    <t>Text Display Update</t>
  </si>
  <si>
    <t>70 03 80 53 A0</t>
  </si>
  <si>
    <t>70 03 80 54 A7</t>
  </si>
  <si>
    <t>Vehicle data status</t>
  </si>
  <si>
    <t>70 03 80 55 A6</t>
  </si>
  <si>
    <t>Service Interval Display</t>
  </si>
  <si>
    <t>70 03 80 56 A5</t>
  </si>
  <si>
    <t>Light control status request</t>
  </si>
  <si>
    <t>70 03 80 57 A4</t>
  </si>
  <si>
    <t>Check Control button</t>
  </si>
  <si>
    <t>70 03 80 58 AB</t>
  </si>
  <si>
    <t>Headlight wipe interval</t>
  </si>
  <si>
    <t>70 03 80 59 AA</t>
  </si>
  <si>
    <t>Light control status</t>
  </si>
  <si>
    <t>70 03 80 5A A9</t>
  </si>
  <si>
    <t>Lamp status request</t>
  </si>
  <si>
    <t>70 03 80 5B A8</t>
  </si>
  <si>
    <t>Lamp status</t>
  </si>
  <si>
    <t>70 03 80 5C AF</t>
  </si>
  <si>
    <t>Light dimmer</t>
  </si>
  <si>
    <t>70 03 80 5D AE</t>
  </si>
  <si>
    <t>Light dimmer status request</t>
  </si>
  <si>
    <t>70 03 80 5E AD</t>
  </si>
  <si>
    <t>LAM sensor</t>
  </si>
  <si>
    <t>70 03 80 5F AC</t>
  </si>
  <si>
    <t>Info swap</t>
  </si>
  <si>
    <t>70 03 80 60 93</t>
  </si>
  <si>
    <t>Suspension control status request</t>
  </si>
  <si>
    <t>70 03 80 61 92</t>
  </si>
  <si>
    <t>Suspension control</t>
  </si>
  <si>
    <t>70 03 80 62 91</t>
  </si>
  <si>
    <t>RDC status</t>
  </si>
  <si>
    <t>70 03 80 63 90</t>
  </si>
  <si>
    <t>Cmd_0x63</t>
  </si>
  <si>
    <t>70 03 80 64 97</t>
  </si>
  <si>
    <t>Cmd_0x64</t>
  </si>
  <si>
    <t>70 03 80 65 96</t>
  </si>
  <si>
    <t>Cmd_0x65</t>
  </si>
  <si>
    <t>70 03 80 66 95</t>
  </si>
  <si>
    <t>Cmd_0x66</t>
  </si>
  <si>
    <t>70 03 80 67 94</t>
  </si>
  <si>
    <t>Cmd_0x67</t>
  </si>
  <si>
    <t>70 03 80 68 9B</t>
  </si>
  <si>
    <t>Cmd_0x68</t>
  </si>
  <si>
    <t>70 03 80 69 9A</t>
  </si>
  <si>
    <t>Cmd_0x69</t>
  </si>
  <si>
    <t>70 03 80 6A 99</t>
  </si>
  <si>
    <t>Cmd_0x6A</t>
  </si>
  <si>
    <t>70 03 80 6B 98</t>
  </si>
  <si>
    <t>Cmd_0x6B</t>
  </si>
  <si>
    <t>70 03 80 6C 9F</t>
  </si>
  <si>
    <t>Cmd_0x6C</t>
  </si>
  <si>
    <t>70 03 80 6D 9E</t>
  </si>
  <si>
    <t>Mirror control</t>
  </si>
  <si>
    <t>70 03 80 6E 9D</t>
  </si>
  <si>
    <t>Cmd_0x6E</t>
  </si>
  <si>
    <t>70 03 80 6F 9C</t>
  </si>
  <si>
    <t>Cmd_0x6F</t>
  </si>
  <si>
    <t>70 03 80 70 83</t>
  </si>
  <si>
    <t>Remote control central locking status</t>
  </si>
  <si>
    <t>70 03 80 71 82</t>
  </si>
  <si>
    <t>Rain sensor status</t>
  </si>
  <si>
    <t>70 03 80 72 81</t>
  </si>
  <si>
    <t>ChkCtrl Remote Central Locking</t>
  </si>
  <si>
    <t>70 03 80 73 80</t>
  </si>
  <si>
    <t>Immobiliser status request</t>
  </si>
  <si>
    <t>70 03 80 74 87</t>
  </si>
  <si>
    <t>Immobiliser status</t>
  </si>
  <si>
    <t>70 03 80 75 86</t>
  </si>
  <si>
    <t>Wiper status request</t>
  </si>
  <si>
    <t>70 03 80 76 85</t>
  </si>
  <si>
    <t>Crash Alarm</t>
  </si>
  <si>
    <t>70 03 80 77 84</t>
  </si>
  <si>
    <t>Wiper status</t>
  </si>
  <si>
    <t>70 03 80 78 8B</t>
  </si>
  <si>
    <t>Seat Memory</t>
  </si>
  <si>
    <t>70 03 80 79 8A</t>
  </si>
  <si>
    <t>Doors/flaps status request</t>
  </si>
  <si>
    <t>70 03 80 7A 89</t>
  </si>
  <si>
    <t>Doors/flaps status</t>
  </si>
  <si>
    <t>70 03 80 7B 88</t>
  </si>
  <si>
    <t>Cmd_0x7B</t>
  </si>
  <si>
    <t>70 03 80 7C 8F</t>
  </si>
  <si>
    <t>Sunroof status</t>
  </si>
  <si>
    <t>70 03 80 7D 8E</t>
  </si>
  <si>
    <t>Sunroof control</t>
  </si>
  <si>
    <t>70 03 80 7E 8D</t>
  </si>
  <si>
    <t>Cmd_0x7E</t>
  </si>
  <si>
    <t>70 03 80 7F 8C</t>
  </si>
  <si>
    <t>Cmd_0x7F</t>
  </si>
  <si>
    <t>70 03 80 80 73</t>
  </si>
  <si>
    <t>Cmd_0x80</t>
  </si>
  <si>
    <t>70 03 80 81 72</t>
  </si>
  <si>
    <t>Cmd_0x81</t>
  </si>
  <si>
    <t>70 03 80 82 71</t>
  </si>
  <si>
    <t>Cmd_0x82</t>
  </si>
  <si>
    <t>70 03 80 83 70</t>
  </si>
  <si>
    <t>Air conditioning compressor status</t>
  </si>
  <si>
    <t>70 03 80 84 77</t>
  </si>
  <si>
    <t>Cmd_0x84</t>
  </si>
  <si>
    <t>70 03 80 85 76</t>
  </si>
  <si>
    <t>Cmd_0x85</t>
  </si>
  <si>
    <t>70 03 80 86 75</t>
  </si>
  <si>
    <t xml:space="preserve">Aux Heating/Vent status </t>
  </si>
  <si>
    <t>70 03 80 87 74</t>
  </si>
  <si>
    <t>Aux Heating/Vent status request</t>
  </si>
  <si>
    <t>70 03 80 88 7B</t>
  </si>
  <si>
    <t>Cmd_0x88</t>
  </si>
  <si>
    <t>70 03 80 89 7A</t>
  </si>
  <si>
    <t>Cmd_0x89</t>
  </si>
  <si>
    <t>70 03 80 8A 79</t>
  </si>
  <si>
    <t>Cmd_0x8A</t>
  </si>
  <si>
    <t>70 03 80 8B 78</t>
  </si>
  <si>
    <t>Cmd_0x8B</t>
  </si>
  <si>
    <t>70 03 80 8C 7F</t>
  </si>
  <si>
    <t>Cmd_0x8C</t>
  </si>
  <si>
    <t>70 03 80 8D 7E</t>
  </si>
  <si>
    <t>Cmd_0x8D</t>
  </si>
  <si>
    <t>70 03 80 8E 7D</t>
  </si>
  <si>
    <t>Cmd_0x8E</t>
  </si>
  <si>
    <t>70 03 80 8F 7C</t>
  </si>
  <si>
    <t>Cmd_0x8F</t>
  </si>
  <si>
    <t>70 03 80 90 63</t>
  </si>
  <si>
    <t>Cmd_0x90</t>
  </si>
  <si>
    <t>70 03 80 91 62</t>
  </si>
  <si>
    <t>Cmd_0x91</t>
  </si>
  <si>
    <t>70 03 80 92 61</t>
  </si>
  <si>
    <t>Heater status</t>
  </si>
  <si>
    <t>70 03 80 93 60</t>
  </si>
  <si>
    <t>Heater status request</t>
  </si>
  <si>
    <t>70 03 80 94 67</t>
  </si>
  <si>
    <t>Cmd_0x94</t>
  </si>
  <si>
    <t>70 03 80 95 66</t>
  </si>
  <si>
    <t>Cmd_0x95</t>
  </si>
  <si>
    <t>70 03 80 96 65</t>
  </si>
  <si>
    <t>Cmd_0x96</t>
  </si>
  <si>
    <t>70 03 80 97 64</t>
  </si>
  <si>
    <t>Cmd_0x97</t>
  </si>
  <si>
    <t>70 03 80 98 6B</t>
  </si>
  <si>
    <t>Cmd_0x98</t>
  </si>
  <si>
    <t>70 03 80 99 6A</t>
  </si>
  <si>
    <t>Cmd_0x99</t>
  </si>
  <si>
    <t>70 03 80 9A 69</t>
  </si>
  <si>
    <t>Cmd_0x9A</t>
  </si>
  <si>
    <t>70 03 80 9B 68</t>
  </si>
  <si>
    <t>Cmd_0x9B</t>
  </si>
  <si>
    <t>70 03 80 9C 6F</t>
  </si>
  <si>
    <t>Cmd_0x9C</t>
  </si>
  <si>
    <t>70 03 80 9D 6E</t>
  </si>
  <si>
    <t>Cmd_0x9D</t>
  </si>
  <si>
    <t>70 03 80 9E 6D</t>
  </si>
  <si>
    <t>Cmd_0x9E</t>
  </si>
  <si>
    <t>70 03 80 9F 6C</t>
  </si>
  <si>
    <t>Headphone status</t>
  </si>
  <si>
    <t>70 03 80 A0 53</t>
  </si>
  <si>
    <t>Cmd_0xA0</t>
  </si>
  <si>
    <t>70 03 80 A1 52</t>
  </si>
  <si>
    <t>Current position request</t>
  </si>
  <si>
    <t>70 03 80 A2 51</t>
  </si>
  <si>
    <t>Current position</t>
  </si>
  <si>
    <t>70 03 80 A3 50</t>
  </si>
  <si>
    <t>Current location request</t>
  </si>
  <si>
    <t>70 03 80 A4 57</t>
  </si>
  <si>
    <t>Current location</t>
  </si>
  <si>
    <t>70 03 80 A5 56</t>
  </si>
  <si>
    <t>Screen Text</t>
  </si>
  <si>
    <t>70 03 80 A6 55</t>
  </si>
  <si>
    <t>Special indicators</t>
  </si>
  <si>
    <t>70 03 80 A7 54</t>
  </si>
  <si>
    <t>TMC status request</t>
  </si>
  <si>
    <t>70 03 80 A8 5B</t>
  </si>
  <si>
    <t>TMC data</t>
  </si>
  <si>
    <t>70 03 80 A9 5A</t>
  </si>
  <si>
    <t>Telephone data</t>
  </si>
  <si>
    <t>70 03 80 AA 59</t>
  </si>
  <si>
    <t>Nav Control</t>
  </si>
  <si>
    <t>70 03 80 AB 58</t>
  </si>
  <si>
    <t>Remote control status</t>
  </si>
  <si>
    <t>70 03 80 AC 5F</t>
  </si>
  <si>
    <t>Cmd_0xAC</t>
  </si>
  <si>
    <t>70 03 80 AD 5E</t>
  </si>
  <si>
    <t>Cmd_0xAD</t>
  </si>
  <si>
    <t>70 03 80 AE 5D</t>
  </si>
  <si>
    <t>Cmd_0xAE</t>
  </si>
  <si>
    <t>70 03 80 AF 5C</t>
  </si>
  <si>
    <t>Cmd_0xAF</t>
  </si>
  <si>
    <t>70 03 80 B0 43</t>
  </si>
  <si>
    <t>Cmd_0xB0</t>
  </si>
  <si>
    <t>70 03 80 B1 42</t>
  </si>
  <si>
    <t>Cmd_0xB1</t>
  </si>
  <si>
    <t>70 03 80 B2 41</t>
  </si>
  <si>
    <t>Cmd_0xB2</t>
  </si>
  <si>
    <t>70 03 80 B3 40</t>
  </si>
  <si>
    <t>Cmd_0xB3</t>
  </si>
  <si>
    <t>70 03 80 B4 47</t>
  </si>
  <si>
    <t>Cmd_0xB4</t>
  </si>
  <si>
    <t>70 03 80 B5 46</t>
  </si>
  <si>
    <t>Cmd_0xB5</t>
  </si>
  <si>
    <t>70 03 80 B6 45</t>
  </si>
  <si>
    <t>Cmd_0xB6</t>
  </si>
  <si>
    <t>70 03 80 B7 44</t>
  </si>
  <si>
    <t>Cmd_0xB7</t>
  </si>
  <si>
    <t>70 03 80 B8 4B</t>
  </si>
  <si>
    <t>Cmd_0xB8</t>
  </si>
  <si>
    <t>70 03 80 B9 4A</t>
  </si>
  <si>
    <t>Cmd_0xB9</t>
  </si>
  <si>
    <t>70 03 80 BA 49</t>
  </si>
  <si>
    <t>Cmd_0xBA</t>
  </si>
  <si>
    <t>70 03 80 BB 48</t>
  </si>
  <si>
    <t>Cmd_0xBB</t>
  </si>
  <si>
    <t>70 03 80 BC 4F</t>
  </si>
  <si>
    <t>Cmd_0xBC</t>
  </si>
  <si>
    <t>70 03 80 BD 4E</t>
  </si>
  <si>
    <t>Cmd_0xBD</t>
  </si>
  <si>
    <t>70 03 80 BE 4D</t>
  </si>
  <si>
    <t>Cmd_0xBE</t>
  </si>
  <si>
    <t>70 03 80 BF 4C</t>
  </si>
  <si>
    <t>Cmd_0xBF</t>
  </si>
  <si>
    <t>70 03 80 C0 33</t>
  </si>
  <si>
    <t>Cmd_0xC0</t>
  </si>
  <si>
    <t>70 03 80 C1 32</t>
  </si>
  <si>
    <t>Cmd_0xC1</t>
  </si>
  <si>
    <t>70 03 80 C2 31</t>
  </si>
  <si>
    <t>Cmd_0xC2</t>
  </si>
  <si>
    <t>70 03 80 C3 30</t>
  </si>
  <si>
    <t>Cmd_0xC3</t>
  </si>
  <si>
    <t>70 03 80 C4 37</t>
  </si>
  <si>
    <t>Cmd_0xC4</t>
  </si>
  <si>
    <t>70 03 80 C5 36</t>
  </si>
  <si>
    <t>Cmd_0xC5</t>
  </si>
  <si>
    <t>70 03 80 C6 35</t>
  </si>
  <si>
    <t>Cmd_0xC6</t>
  </si>
  <si>
    <t>70 03 80 C7 34</t>
  </si>
  <si>
    <t>Cmd_0xC7</t>
  </si>
  <si>
    <t>70 03 80 C8 3B</t>
  </si>
  <si>
    <t>Cmd_0xC8</t>
  </si>
  <si>
    <t>70 03 80 C9 3A</t>
  </si>
  <si>
    <t>Cmd_0xC9</t>
  </si>
  <si>
    <t>70 03 80 CA 39</t>
  </si>
  <si>
    <t>Cmd_0xCA</t>
  </si>
  <si>
    <t>70 03 80 CB 38</t>
  </si>
  <si>
    <t>Cmd_0xCB</t>
  </si>
  <si>
    <t>70 03 80 CC 3F</t>
  </si>
  <si>
    <t>Cmd_0xCC</t>
  </si>
  <si>
    <t>70 03 80 CD 3E</t>
  </si>
  <si>
    <t>Cmd_0xCD</t>
  </si>
  <si>
    <t>70 03 80 CE 3D</t>
  </si>
  <si>
    <t>Cmd_0xCE</t>
  </si>
  <si>
    <t>70 03 80 CF 3C</t>
  </si>
  <si>
    <t>Cmd_0xCF</t>
  </si>
  <si>
    <t>70 03 80 D0 23</t>
  </si>
  <si>
    <t>Cmd_0xD0</t>
  </si>
  <si>
    <t>70 03 80 D1 22</t>
  </si>
  <si>
    <t>Cmd_0xD1</t>
  </si>
  <si>
    <t>70 03 80 D2 21</t>
  </si>
  <si>
    <t>Cmd_0xD2</t>
  </si>
  <si>
    <t>70 03 80 D3 20</t>
  </si>
  <si>
    <t>Cmd_0xD3</t>
  </si>
  <si>
    <t>70 03 80 D4 27</t>
  </si>
  <si>
    <t>NG Radio Station list</t>
  </si>
  <si>
    <t>70 03 80 D5 26</t>
  </si>
  <si>
    <t>Cmd_0xD5</t>
  </si>
  <si>
    <t>70 03 80 D6 25</t>
  </si>
  <si>
    <t>Cmd_0xD6</t>
  </si>
  <si>
    <t>70 03 80 D7 24</t>
  </si>
  <si>
    <t>Cmd_0xD7</t>
  </si>
  <si>
    <t>70 03 80 D8 2B</t>
  </si>
  <si>
    <t>Cmd_0xD8</t>
  </si>
  <si>
    <t>70 03 80 D9 2A</t>
  </si>
  <si>
    <t>Cmd_0xD9</t>
  </si>
  <si>
    <t>70 03 80 DA 29</t>
  </si>
  <si>
    <t>Cmd_0xDA</t>
  </si>
  <si>
    <t>70 03 80 DB 28</t>
  </si>
  <si>
    <t>Cmd_0xDB</t>
  </si>
  <si>
    <t>70 03 80 DC 2F</t>
  </si>
  <si>
    <t>Cmd_0xDC</t>
  </si>
  <si>
    <t>70 03 80 DD 2E</t>
  </si>
  <si>
    <t>Cmd_0xDD</t>
  </si>
  <si>
    <t>70 03 80 DE 2D</t>
  </si>
  <si>
    <t>Cmd_0xDE</t>
  </si>
  <si>
    <t>70 03 80 DF 2C</t>
  </si>
  <si>
    <t>Cmd_0xDF</t>
  </si>
  <si>
    <t>70 03 80 E0 13</t>
  </si>
  <si>
    <t>Cmd_0xE0</t>
  </si>
  <si>
    <t>70 03 80 E1 12</t>
  </si>
  <si>
    <t>Cmd_0xE1</t>
  </si>
  <si>
    <t>70 03 80 E2 11</t>
  </si>
  <si>
    <t>Cmd_0xE2</t>
  </si>
  <si>
    <t>70 03 80 E3 10</t>
  </si>
  <si>
    <t>Cmd_0xE3</t>
  </si>
  <si>
    <t>70 03 80 E4 17</t>
  </si>
  <si>
    <t>Cmd_0xE4</t>
  </si>
  <si>
    <t>70 03 80 E5 16</t>
  </si>
  <si>
    <t>Cmd_0xE5</t>
  </si>
  <si>
    <t>70 03 80 E6 15</t>
  </si>
  <si>
    <t>Cmd_0xE6</t>
  </si>
  <si>
    <t>70 03 80 E7 14</t>
  </si>
  <si>
    <t>Cmd_0xE7</t>
  </si>
  <si>
    <t>70 03 80 E8 1B</t>
  </si>
  <si>
    <t>Cmd_0xE8</t>
  </si>
  <si>
    <t>70 03 80 E9 1A</t>
  </si>
  <si>
    <t>Cmd_0xE9</t>
  </si>
  <si>
    <t>70 03 80 EA 19</t>
  </si>
  <si>
    <t>Cmd_0xEA</t>
  </si>
  <si>
    <t>70 03 80 EB 18</t>
  </si>
  <si>
    <t>Cmd_0xEB</t>
  </si>
  <si>
    <t>70 03 80 EC 1F</t>
  </si>
  <si>
    <t>Cmd_0xEC</t>
  </si>
  <si>
    <t>70 03 80 ED 1E</t>
  </si>
  <si>
    <t>Cmd_0xED</t>
  </si>
  <si>
    <t>70 03 80 EE 1D</t>
  </si>
  <si>
    <t>Cmd_0xEE</t>
  </si>
  <si>
    <t>70 03 80 EF 1C</t>
  </si>
  <si>
    <t>Cmd_0xEF</t>
  </si>
  <si>
    <t>70 03 80 F0 03</t>
  </si>
  <si>
    <t>Cmd_0xF0</t>
  </si>
  <si>
    <t>70 03 80 F1 02</t>
  </si>
  <si>
    <t>Cmd_0xF1</t>
  </si>
  <si>
    <t>70 03 80 F2 01</t>
  </si>
  <si>
    <t>Cmd_0xF2</t>
  </si>
  <si>
    <t>70 03 80 F3 00</t>
  </si>
  <si>
    <t>Cmd_0xF3</t>
  </si>
  <si>
    <t>70 03 80 F4 07</t>
  </si>
  <si>
    <t>Cmd_0xF4</t>
  </si>
  <si>
    <t>70 03 80 F5 06</t>
  </si>
  <si>
    <t>Cmd_0xF5</t>
  </si>
  <si>
    <t>70 03 80 F6 05</t>
  </si>
  <si>
    <t>Cmd_0xF6</t>
  </si>
  <si>
    <t>70 03 80 F7 04</t>
  </si>
  <si>
    <t>Cmd_0xF7</t>
  </si>
  <si>
    <t>70 03 80 F8 0B</t>
  </si>
  <si>
    <t>Cmd_0xF8</t>
  </si>
  <si>
    <t>70 03 80 F9 0A</t>
  </si>
  <si>
    <t>Cmd_0xF9</t>
  </si>
  <si>
    <t>70 03 80 FA 09</t>
  </si>
  <si>
    <t>Cmd_0xFA</t>
  </si>
  <si>
    <t>70 03 80 FB 08</t>
  </si>
  <si>
    <t>Cmd_0xFB</t>
  </si>
  <si>
    <t>70 03 80 FC 0F</t>
  </si>
  <si>
    <t>Cmd_0xFC</t>
  </si>
  <si>
    <t>70 03 80 FD 0E</t>
  </si>
  <si>
    <t>Cmd_0xFD</t>
  </si>
  <si>
    <t>70 03 80 FE 0D</t>
  </si>
  <si>
    <t>Cmd_0xFE</t>
  </si>
  <si>
    <t>70 03 80 FF 0C</t>
  </si>
  <si>
    <t>Cmd_0xFF</t>
  </si>
  <si>
    <t>01001000</t>
  </si>
  <si>
    <t>01001001</t>
  </si>
  <si>
    <t>01001010</t>
  </si>
  <si>
    <t>01001011</t>
  </si>
  <si>
    <t>? close sunroof</t>
  </si>
  <si>
    <t>? driver's side window close front</t>
  </si>
  <si>
    <t>? driver's side window open front</t>
  </si>
  <si>
    <t>? passenger side window close front</t>
  </si>
  <si>
    <t>? passenger side window open front</t>
  </si>
  <si>
    <t>01100111</t>
  </si>
  <si>
    <t>? close all windows</t>
  </si>
  <si>
    <t>01100100</t>
  </si>
  <si>
    <t>Column1</t>
  </si>
  <si>
    <t>Column2</t>
  </si>
  <si>
    <t>Column3</t>
  </si>
  <si>
    <t>Column4</t>
  </si>
  <si>
    <t>Column5</t>
  </si>
  <si>
    <t>Column6</t>
  </si>
  <si>
    <t>dr w c</t>
  </si>
  <si>
    <t>dr w o</t>
  </si>
  <si>
    <t>df w o</t>
  </si>
  <si>
    <t>df w c</t>
  </si>
  <si>
    <t>e46</t>
  </si>
  <si>
    <t>aa</t>
  </si>
  <si>
    <t>bb</t>
  </si>
  <si>
    <t>cc</t>
  </si>
  <si>
    <t>dd</t>
  </si>
  <si>
    <t>pf w o</t>
  </si>
  <si>
    <t>pf w c</t>
  </si>
  <si>
    <t>pr w o</t>
  </si>
  <si>
    <t>pr w c</t>
  </si>
  <si>
    <t>00 rear, 01 front</t>
  </si>
  <si>
    <t>00 driver, 01 passenger</t>
  </si>
  <si>
    <t>open/close</t>
  </si>
  <si>
    <t>e39</t>
  </si>
  <si>
    <t>aa bb cc dd</t>
  </si>
  <si>
    <t>00 rear, 01 front?</t>
  </si>
  <si>
    <t xml:space="preserve">01 00 01 11 </t>
  </si>
  <si>
    <t>e39 bin</t>
  </si>
  <si>
    <t>0100</t>
  </si>
  <si>
    <t>01 01 01 01</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</si>
</sst>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0"/>
      <color rgb="FF000000"/>
      <name val="Arial"/>
    </font>
    <font>
      <sz val="10"/>
      <name val="Arial"/>
    </font>
    <font>
      <sz val="8"/>
      <name val="Arial"/>
    </font>
    <font>
      <b/>
      <sz val="12"/>
      <name val="Arial"/>
    </font>
    <font>
      <sz val="11"/>
      <color rgb="FF000000"/>
      <name val="Calibri"/>
    </font>
    <font>
      <sz val="10"/>
      <color rgb="FFFF0000"/>
      <name val="Arial"/>
    </font>
    <font>
      <sz val="11"/>
      <color rgb="FF000000"/>
      <name val="Verdana"/>
    </font>
    <font>
      <b/>
      <sz val="10"/>
      <name val="Arial"/>
    </font>
    <font>
      <sz val="9"/>
      <color rgb="FF0000FF"/>
      <name val="Consolas"/>
    </font>
    <font>
      <b/>
      <sz val="10"/>
      <color rgb="FFFF0000"/>
      <name val="Arial"/>
    </font>
    <font>
      <b/>
      <sz val="10"/>
      <color rgb="FF00CCFF"/>
      <name val="Arial"/>
    </font>
    <font>
      <u/>
      <sz val="10"/>
      <color rgb="FF0000FF"/>
      <name val="Arial"/>
    </font>
    <font>
      <b/>
      <sz val="10"/>
      <color rgb="FF000000"/>
      <name val="Arial"/>
      <family val="2"/>
    </font>
    <font>
      <sz val="10"/>
      <color rgb="FF000000"/>
      <name val="Arial"/>
      <family val="2"/>
    </font>
  </fonts>
  <fills count="14">
    <fill>
      <patternFill patternType="none"/>
    </fill>
    <fill>
      <patternFill patternType="gray125"/>
    </fill>
    <fill>
      <patternFill patternType="solid">
        <fgColor rgb="FFFF00FF"/>
        <bgColor rgb="FFFF00FF"/>
      </patternFill>
    </fill>
    <fill>
      <patternFill patternType="solid">
        <fgColor rgb="FF99CC00"/>
        <bgColor rgb="FF99CC00"/>
      </patternFill>
    </fill>
    <fill>
      <patternFill patternType="solid">
        <fgColor rgb="FF33CCCC"/>
        <bgColor rgb="FF33CCCC"/>
      </patternFill>
    </fill>
    <fill>
      <patternFill patternType="solid">
        <fgColor rgb="FFFFCC99"/>
        <bgColor rgb="FFFFCC99"/>
      </patternFill>
    </fill>
    <fill>
      <patternFill patternType="solid">
        <fgColor rgb="FFFFFF00"/>
        <bgColor rgb="FFFFFF00"/>
      </patternFill>
    </fill>
    <fill>
      <patternFill patternType="solid">
        <fgColor rgb="FFB6DDE8"/>
        <bgColor rgb="FFB6DDE8"/>
      </patternFill>
    </fill>
    <fill>
      <patternFill patternType="solid">
        <fgColor rgb="FFFFFF99"/>
        <bgColor rgb="FFFFFF99"/>
      </patternFill>
    </fill>
    <fill>
      <patternFill patternType="solid">
        <fgColor rgb="FFC0C0C0"/>
        <bgColor rgb="FFC0C0C0"/>
      </patternFill>
    </fill>
    <fill>
      <patternFill patternType="solid">
        <fgColor rgb="FFFFCC00"/>
        <bgColor rgb="FFFFCC00"/>
      </patternFill>
    </fill>
    <fill>
      <patternFill patternType="solid">
        <fgColor rgb="FFCCFFFF"/>
        <bgColor rgb="FFCCFFFF"/>
      </patternFill>
    </fill>
    <fill>
      <patternFill patternType="solid">
        <fgColor rgb="FFFFFFFF"/>
        <bgColor rgb="FFFFFFFF"/>
      </patternFill>
    </fill>
    <fill>
      <patternFill patternType="solid">
        <fgColor rgb="FF99CCFF"/>
        <bgColor rgb="FF99CCFF"/>
      </patternFill>
    </fill>
  </fills>
  <borders count="9">
    <border>
      <left/>
      <right/>
      <top/>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80">
    <xf numFmtId="0" fontId="0" fillId="0" borderId="0" xfId="0" applyFont="1" applyAlignment="1"/>
    <xf numFmtId="0" fontId="1" fillId="0" borderId="0" xfId="0" applyFont="1"/>
    <xf numFmtId="49" fontId="2" fillId="2" borderId="0" xfId="0" applyNumberFormat="1" applyFont="1" applyFill="1" applyBorder="1" applyAlignment="1">
      <alignment horizontal="center"/>
    </xf>
    <xf numFmtId="49" fontId="2" fillId="3" borderId="0" xfId="0" applyNumberFormat="1" applyFont="1" applyFill="1" applyBorder="1" applyAlignment="1">
      <alignment horizontal="center"/>
    </xf>
    <xf numFmtId="49" fontId="2" fillId="4" borderId="0" xfId="0" applyNumberFormat="1" applyFont="1" applyFill="1" applyBorder="1" applyAlignment="1">
      <alignment horizontal="center"/>
    </xf>
    <xf numFmtId="49" fontId="1" fillId="0" borderId="0" xfId="0" applyNumberFormat="1" applyFont="1"/>
    <xf numFmtId="0" fontId="3" fillId="0" borderId="0" xfId="0" applyFont="1"/>
    <xf numFmtId="49" fontId="1" fillId="2" borderId="0" xfId="0" applyNumberFormat="1" applyFont="1" applyFill="1" applyBorder="1" applyAlignment="1">
      <alignment horizontal="center"/>
    </xf>
    <xf numFmtId="49" fontId="1" fillId="3" borderId="0" xfId="0" applyNumberFormat="1" applyFont="1" applyFill="1" applyBorder="1" applyAlignment="1">
      <alignment horizontal="center"/>
    </xf>
    <xf numFmtId="49" fontId="1" fillId="4" borderId="0" xfId="0" applyNumberFormat="1" applyFont="1" applyFill="1" applyBorder="1" applyAlignment="1">
      <alignment horizontal="center"/>
    </xf>
    <xf numFmtId="0" fontId="1" fillId="0" borderId="0" xfId="0" applyFont="1"/>
    <xf numFmtId="0" fontId="1" fillId="3" borderId="0" xfId="0" applyFont="1" applyFill="1" applyBorder="1" applyAlignment="1">
      <alignment horizontal="center"/>
    </xf>
    <xf numFmtId="0" fontId="1" fillId="0" borderId="0" xfId="0" applyFont="1"/>
    <xf numFmtId="0" fontId="1" fillId="5" borderId="0" xfId="0" applyFont="1" applyFill="1" applyBorder="1"/>
    <xf numFmtId="49" fontId="1" fillId="5" borderId="0" xfId="0" applyNumberFormat="1" applyFont="1" applyFill="1" applyBorder="1"/>
    <xf numFmtId="0" fontId="1" fillId="2" borderId="0" xfId="0" applyFont="1" applyFill="1" applyBorder="1" applyAlignment="1">
      <alignment horizontal="center"/>
    </xf>
    <xf numFmtId="0" fontId="1" fillId="4" borderId="0" xfId="0" applyFont="1" applyFill="1" applyBorder="1" applyAlignment="1">
      <alignment horizontal="center"/>
    </xf>
    <xf numFmtId="0" fontId="4" fillId="0" borderId="0" xfId="0" applyFont="1"/>
    <xf numFmtId="49" fontId="1" fillId="5" borderId="0" xfId="0" applyNumberFormat="1" applyFont="1" applyFill="1" applyBorder="1" applyAlignment="1">
      <alignment horizontal="right"/>
    </xf>
    <xf numFmtId="49" fontId="1" fillId="5" borderId="0" xfId="0" applyNumberFormat="1" applyFont="1" applyFill="1" applyBorder="1" applyAlignment="1">
      <alignment horizontal="center"/>
    </xf>
    <xf numFmtId="49" fontId="5" fillId="0" borderId="0" xfId="0" applyNumberFormat="1" applyFont="1"/>
    <xf numFmtId="49" fontId="1" fillId="6" borderId="0" xfId="0" applyNumberFormat="1" applyFont="1" applyFill="1" applyBorder="1"/>
    <xf numFmtId="0" fontId="1" fillId="0" borderId="1" xfId="0" applyFont="1" applyBorder="1"/>
    <xf numFmtId="49" fontId="1" fillId="7" borderId="0" xfId="0" applyNumberFormat="1" applyFont="1" applyFill="1" applyBorder="1"/>
    <xf numFmtId="49" fontId="1" fillId="0" borderId="2" xfId="0" applyNumberFormat="1" applyFont="1" applyBorder="1"/>
    <xf numFmtId="49" fontId="1" fillId="0" borderId="3" xfId="0" applyNumberFormat="1" applyFont="1" applyBorder="1"/>
    <xf numFmtId="0" fontId="1" fillId="0" borderId="4" xfId="0" applyFont="1" applyBorder="1"/>
    <xf numFmtId="0" fontId="1" fillId="0" borderId="2" xfId="0" applyFont="1" applyBorder="1"/>
    <xf numFmtId="0" fontId="1" fillId="0" borderId="3" xfId="0" applyFont="1" applyBorder="1"/>
    <xf numFmtId="0" fontId="1" fillId="0" borderId="2" xfId="0" applyFont="1" applyBorder="1" applyAlignment="1">
      <alignment horizontal="right"/>
    </xf>
    <xf numFmtId="0" fontId="1" fillId="0" borderId="4" xfId="0" applyFont="1" applyBorder="1" applyAlignment="1">
      <alignment horizontal="left"/>
    </xf>
    <xf numFmtId="49" fontId="1" fillId="0" borderId="5" xfId="0" applyNumberFormat="1" applyFont="1" applyBorder="1"/>
    <xf numFmtId="0" fontId="1" fillId="0" borderId="6" xfId="0" applyFont="1" applyBorder="1"/>
    <xf numFmtId="0" fontId="1" fillId="0" borderId="6" xfId="0" applyFont="1" applyBorder="1" applyAlignment="1">
      <alignment horizontal="right"/>
    </xf>
    <xf numFmtId="0" fontId="1" fillId="0" borderId="5" xfId="0" applyFont="1" applyBorder="1" applyAlignment="1">
      <alignment horizontal="right"/>
    </xf>
    <xf numFmtId="0" fontId="1" fillId="0" borderId="6" xfId="0" applyFont="1" applyBorder="1" applyAlignment="1">
      <alignment horizontal="left"/>
    </xf>
    <xf numFmtId="0" fontId="1" fillId="0" borderId="5" xfId="0" applyFont="1" applyBorder="1"/>
    <xf numFmtId="49" fontId="1" fillId="8" borderId="5" xfId="0" applyNumberFormat="1" applyFont="1" applyFill="1" applyBorder="1"/>
    <xf numFmtId="0" fontId="1" fillId="9" borderId="0" xfId="0" applyFont="1" applyFill="1" applyBorder="1"/>
    <xf numFmtId="0" fontId="1" fillId="0" borderId="7" xfId="0" applyFont="1" applyBorder="1"/>
    <xf numFmtId="0" fontId="1" fillId="0" borderId="8" xfId="0" applyFont="1" applyBorder="1"/>
    <xf numFmtId="0" fontId="5" fillId="8" borderId="5" xfId="0" applyFont="1" applyFill="1" applyBorder="1"/>
    <xf numFmtId="0" fontId="5" fillId="8" borderId="0" xfId="0" applyFont="1" applyFill="1" applyBorder="1"/>
    <xf numFmtId="0" fontId="5" fillId="0" borderId="6" xfId="0" applyFont="1" applyBorder="1"/>
    <xf numFmtId="0" fontId="5" fillId="0" borderId="5" xfId="0" applyFont="1" applyBorder="1"/>
    <xf numFmtId="0" fontId="5" fillId="0" borderId="0" xfId="0" applyFont="1"/>
    <xf numFmtId="0" fontId="1" fillId="8" borderId="7" xfId="0" applyFont="1" applyFill="1" applyBorder="1"/>
    <xf numFmtId="0" fontId="1" fillId="8" borderId="1" xfId="0" applyFont="1" applyFill="1" applyBorder="1"/>
    <xf numFmtId="0" fontId="1" fillId="8" borderId="8" xfId="0" applyFont="1" applyFill="1" applyBorder="1"/>
    <xf numFmtId="0" fontId="1" fillId="8" borderId="0" xfId="0" applyFont="1" applyFill="1" applyBorder="1"/>
    <xf numFmtId="0" fontId="6" fillId="0" borderId="0" xfId="0" applyFont="1"/>
    <xf numFmtId="49" fontId="1" fillId="10" borderId="0" xfId="0" applyNumberFormat="1" applyFont="1" applyFill="1" applyBorder="1"/>
    <xf numFmtId="0" fontId="1" fillId="11" borderId="0" xfId="0" applyFont="1" applyFill="1" applyBorder="1"/>
    <xf numFmtId="0" fontId="1" fillId="2" borderId="0" xfId="0" applyFont="1" applyFill="1" applyBorder="1" applyAlignment="1">
      <alignment horizontal="left"/>
    </xf>
    <xf numFmtId="49" fontId="1" fillId="12" borderId="0" xfId="0" applyNumberFormat="1" applyFont="1" applyFill="1" applyBorder="1"/>
    <xf numFmtId="0" fontId="7" fillId="0" borderId="0" xfId="0" applyFont="1"/>
    <xf numFmtId="0" fontId="8" fillId="0" borderId="0" xfId="0" applyFont="1" applyAlignment="1">
      <alignment vertical="top" wrapText="1"/>
    </xf>
    <xf numFmtId="0" fontId="1" fillId="0" borderId="0" xfId="0" applyFont="1" applyAlignment="1">
      <alignment vertical="top" wrapText="1"/>
    </xf>
    <xf numFmtId="0" fontId="1" fillId="0" borderId="0" xfId="0" applyFont="1" applyAlignment="1">
      <alignment horizontal="right"/>
    </xf>
    <xf numFmtId="0" fontId="1" fillId="2" borderId="0" xfId="0" applyFont="1" applyFill="1" applyBorder="1"/>
    <xf numFmtId="0" fontId="9" fillId="0" borderId="0" xfId="0" applyFont="1"/>
    <xf numFmtId="0" fontId="10" fillId="0" borderId="0" xfId="0" applyFont="1"/>
    <xf numFmtId="0" fontId="1" fillId="13" borderId="0" xfId="0" applyFont="1" applyFill="1" applyBorder="1"/>
    <xf numFmtId="0" fontId="1" fillId="2" borderId="0" xfId="0" applyFont="1" applyFill="1" applyBorder="1" applyAlignment="1">
      <alignment horizontal="center" wrapText="1"/>
    </xf>
    <xf numFmtId="0" fontId="1" fillId="3" borderId="0" xfId="0" applyFont="1" applyFill="1" applyBorder="1" applyAlignment="1">
      <alignment horizontal="center" wrapText="1"/>
    </xf>
    <xf numFmtId="0" fontId="1" fillId="4" borderId="0" xfId="0" applyFont="1" applyFill="1" applyBorder="1" applyAlignment="1">
      <alignment horizontal="center" wrapText="1"/>
    </xf>
    <xf numFmtId="0" fontId="1" fillId="0" borderId="0" xfId="0" applyFont="1" applyAlignment="1">
      <alignment horizontal="center" wrapText="1"/>
    </xf>
    <xf numFmtId="0" fontId="1" fillId="10" borderId="0" xfId="0" applyFont="1" applyFill="1" applyBorder="1" applyAlignment="1">
      <alignment horizontal="center" wrapText="1"/>
    </xf>
    <xf numFmtId="2" fontId="1" fillId="0" borderId="0" xfId="0" applyNumberFormat="1" applyFont="1"/>
    <xf numFmtId="2" fontId="1" fillId="6" borderId="0" xfId="0" applyNumberFormat="1" applyFont="1" applyFill="1" applyBorder="1"/>
    <xf numFmtId="0" fontId="1" fillId="6" borderId="0" xfId="0" applyFont="1" applyFill="1" applyBorder="1"/>
    <xf numFmtId="49" fontId="1" fillId="0" borderId="0" xfId="0" applyNumberFormat="1" applyFont="1" applyAlignment="1">
      <alignment horizontal="left"/>
    </xf>
    <xf numFmtId="0" fontId="0" fillId="6" borderId="0" xfId="0" applyFont="1" applyFill="1" applyBorder="1" applyAlignment="1">
      <alignment vertical="top" wrapText="1"/>
    </xf>
    <xf numFmtId="0" fontId="0" fillId="0" borderId="0" xfId="0" applyFont="1" applyAlignment="1">
      <alignment vertical="top" wrapText="1"/>
    </xf>
    <xf numFmtId="0" fontId="11" fillId="0" borderId="0" xfId="0" applyFont="1"/>
    <xf numFmtId="49" fontId="0" fillId="0" borderId="0" xfId="0" applyNumberFormat="1" applyFont="1" applyAlignment="1"/>
    <xf numFmtId="0" fontId="12" fillId="0" borderId="0" xfId="0" applyFont="1" applyAlignment="1"/>
    <xf numFmtId="0" fontId="13" fillId="0" borderId="0" xfId="0" applyFont="1" applyAlignment="1"/>
    <xf numFmtId="49" fontId="13" fillId="0" borderId="0" xfId="0" applyNumberFormat="1" applyFont="1" applyAlignment="1"/>
    <xf numFmtId="0" fontId="0" fillId="0" borderId="0" xfId="0"/>
  </cellXfs>
  <cellStyles count="1">
    <cellStyle name="Normal" xfId="0" builtinId="0"/>
  </cellStyles>
  <dxfs count="4">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95250</xdr:colOff>
      <xdr:row>58</xdr:row>
      <xdr:rowOff>19050</xdr:rowOff>
    </xdr:to>
    <xdr:sp macro="" textlink="">
      <xdr:nvSpPr>
        <xdr:cNvPr id="1046" name="Rectangle 22" hidden="1"/>
        <xdr:cNvSpPr>
          <a:spLocks noSelect="1" noChangeArrowheads="1"/>
        </xdr:cNvSpPr>
      </xdr:nvSpPr>
      <xdr:spPr bwMode="auto">
        <a:xfrm>
          <a:off x="0" y="0"/>
          <a:ext cx="9525000" cy="9525000"/>
        </a:xfrm>
        <a:prstGeom prst="rect">
          <a:avLst/>
        </a:pr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361950</xdr:colOff>
      <xdr:row>55</xdr:row>
      <xdr:rowOff>142875</xdr:rowOff>
    </xdr:to>
    <xdr:sp macro="" textlink="">
      <xdr:nvSpPr>
        <xdr:cNvPr id="2068" name="Rectangle 20" hidden="1"/>
        <xdr:cNvSpPr>
          <a:spLocks noSelect="1" noChangeArrowheads="1"/>
        </xdr:cNvSpPr>
      </xdr:nvSpPr>
      <xdr:spPr bwMode="auto">
        <a:xfrm>
          <a:off x="0" y="0"/>
          <a:ext cx="9525000" cy="9525000"/>
        </a:xfrm>
        <a:prstGeom prst="rect">
          <a:avLst/>
        </a:prstGeom>
        <a:solidFill>
          <a:srgbClr val="FFFFFF"/>
        </a:solidFill>
        <a:ln w="9525">
          <a:solidFill>
            <a:srgbClr val="000000"/>
          </a:solidFill>
          <a:round/>
          <a:headEnd/>
          <a:tailEnd/>
        </a:ln>
      </xdr:spPr>
    </xdr:sp>
    <xdr:clientData/>
  </xdr:twoCellAnchor>
</xdr:wsDr>
</file>

<file path=xl/tables/table1.xml><?xml version="1.0" encoding="utf-8"?>
<table xmlns="http://schemas.openxmlformats.org/spreadsheetml/2006/main" id="1" name="Table1" displayName="Table1" ref="A1:H21" totalsRowShown="0" headerRowDxfId="1">
  <autoFilter ref="A1:H21"/>
  <tableColumns count="8">
    <tableColumn id="1" name="Messages to the control units for the E39 series: address 00 Hex (transmitter 3FH / DIS) " dataDxfId="3"/>
    <tableColumn id="2" name="Column1" dataDxfId="2"/>
    <tableColumn id="3" name="Column2">
      <calculatedColumnFormula>RIGHT(LEFT(A2,19),2)</calculatedColumnFormula>
    </tableColumn>
    <tableColumn id="4" name="Column3">
      <calculatedColumnFormula>HEX2BIN(C2,8)</calculatedColumnFormula>
    </tableColumn>
    <tableColumn id="5" name="Column4"/>
    <tableColumn id="6" name="Column5"/>
    <tableColumn id="7" name="Column6"/>
    <tableColumn id="8" name="Message" dataDxfId="0">
      <calculatedColumnFormula>CONCATENATE("3F 05 00 0C 00 ",Table1[[#This Row],[Column2]])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hyperlink" Target="http://www.bmwgm5.com/IBUS.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117"/>
  <sheetViews>
    <sheetView workbookViewId="0">
      <pane ySplit="1" topLeftCell="A47" activePane="bottomLeft" state="frozen"/>
      <selection pane="bottomLeft" activeCell="B3" sqref="B3"/>
    </sheetView>
  </sheetViews>
  <sheetFormatPr defaultColWidth="17.28515625" defaultRowHeight="15" customHeight="1" x14ac:dyDescent="0.2"/>
  <cols>
    <col min="1" max="1" width="6.85546875" customWidth="1"/>
    <col min="2" max="2" width="17.140625" customWidth="1"/>
    <col min="3" max="3" width="3" customWidth="1"/>
    <col min="4" max="4" width="5.7109375" customWidth="1"/>
    <col min="5" max="5" width="8" customWidth="1"/>
    <col min="6" max="6" width="5.28515625" customWidth="1"/>
    <col min="7" max="7" width="5.5703125" customWidth="1"/>
    <col min="8" max="8" width="4.140625" customWidth="1"/>
    <col min="9" max="14" width="3.28515625" customWidth="1"/>
    <col min="15" max="15" width="11.28515625" customWidth="1"/>
    <col min="16" max="17" width="3.28515625" customWidth="1"/>
    <col min="18" max="18" width="12" customWidth="1"/>
    <col min="19" max="19" width="8" customWidth="1"/>
    <col min="20" max="20" width="8.140625" customWidth="1"/>
    <col min="21" max="21" width="12" customWidth="1"/>
    <col min="22" max="23" width="8" customWidth="1"/>
    <col min="24" max="24" width="5.7109375" customWidth="1"/>
    <col min="25" max="25" width="17.85546875" customWidth="1"/>
    <col min="26" max="28" width="8" customWidth="1"/>
  </cols>
  <sheetData>
    <row r="1" spans="1:25" ht="12.75" customHeight="1" x14ac:dyDescent="0.2">
      <c r="A1" s="1"/>
      <c r="B1" s="1"/>
      <c r="C1" s="1"/>
      <c r="D1" s="1" t="s">
        <v>0</v>
      </c>
      <c r="E1" s="1" t="s">
        <v>1</v>
      </c>
      <c r="F1" s="2" t="s">
        <v>0</v>
      </c>
      <c r="G1" s="3" t="s">
        <v>2</v>
      </c>
      <c r="H1" s="4" t="s">
        <v>1</v>
      </c>
      <c r="I1" s="5" t="s">
        <v>3</v>
      </c>
      <c r="J1" s="5" t="s">
        <v>4</v>
      </c>
      <c r="K1" s="5" t="s">
        <v>5</v>
      </c>
      <c r="L1" s="5" t="s">
        <v>6</v>
      </c>
      <c r="M1" s="1" t="s">
        <v>7</v>
      </c>
      <c r="N1" s="1" t="s">
        <v>8</v>
      </c>
      <c r="O1" s="1"/>
      <c r="P1" s="1"/>
      <c r="Q1" s="1"/>
      <c r="R1" s="1"/>
      <c r="T1" s="1"/>
      <c r="U1" s="1"/>
      <c r="X1" s="1"/>
      <c r="Y1" s="1"/>
    </row>
    <row r="2" spans="1:25" ht="15.75" customHeight="1" x14ac:dyDescent="0.25">
      <c r="A2" s="1"/>
      <c r="B2" s="6" t="s">
        <v>9</v>
      </c>
      <c r="C2" s="1"/>
      <c r="D2" s="1"/>
      <c r="F2" s="7"/>
      <c r="G2" s="8"/>
      <c r="H2" s="9"/>
      <c r="I2" s="1"/>
      <c r="J2" s="1"/>
      <c r="K2" s="1"/>
      <c r="L2" s="1"/>
      <c r="M2" s="1"/>
      <c r="N2" s="1"/>
      <c r="O2" s="1"/>
      <c r="P2" s="1"/>
      <c r="Q2" s="5"/>
      <c r="R2" s="1"/>
      <c r="T2" s="1"/>
      <c r="U2" s="1"/>
      <c r="X2" s="1"/>
      <c r="Y2" s="1"/>
    </row>
    <row r="3" spans="1:25" ht="12.75" customHeight="1" x14ac:dyDescent="0.2">
      <c r="A3" s="1" t="s">
        <v>10</v>
      </c>
      <c r="B3" s="1" t="s">
        <v>11</v>
      </c>
      <c r="C3" s="1"/>
      <c r="D3" s="10" t="str">
        <f>VLOOKUP(F3,Format!G:H,2,FALSE)</f>
        <v>Radio</v>
      </c>
      <c r="E3" s="10" t="str">
        <f>VLOOKUP(H3,Format!G:H,2,FALSE)</f>
        <v>CD player</v>
      </c>
      <c r="F3" s="7" t="s">
        <v>12</v>
      </c>
      <c r="G3" s="11" t="s">
        <v>13</v>
      </c>
      <c r="H3" s="9" t="s">
        <v>14</v>
      </c>
      <c r="I3" s="12" t="s">
        <v>15</v>
      </c>
      <c r="J3" s="13">
        <v>72</v>
      </c>
      <c r="K3" s="1"/>
      <c r="L3" s="1"/>
      <c r="M3" s="1"/>
      <c r="N3" s="1"/>
      <c r="O3" s="1" t="s">
        <v>16</v>
      </c>
      <c r="P3" s="1"/>
      <c r="Q3" s="5"/>
      <c r="R3" s="1"/>
      <c r="T3" s="1"/>
      <c r="U3" s="1"/>
      <c r="X3" s="1"/>
      <c r="Y3" s="1"/>
    </row>
    <row r="4" spans="1:25" ht="12.75" customHeight="1" x14ac:dyDescent="0.2">
      <c r="A4" s="1" t="s">
        <v>10</v>
      </c>
      <c r="B4" s="1" t="s">
        <v>17</v>
      </c>
      <c r="C4" s="1"/>
      <c r="D4" s="10" t="str">
        <f>VLOOKUP(F4,Format!G:H,2,FALSE)</f>
        <v>Radio</v>
      </c>
      <c r="E4" s="10" t="str">
        <f>VLOOKUP(H4,Format!G:H,2,FALSE)</f>
        <v>General news 2</v>
      </c>
      <c r="F4" s="7" t="s">
        <v>12</v>
      </c>
      <c r="G4" s="8" t="s">
        <v>18</v>
      </c>
      <c r="H4" s="9" t="s">
        <v>19</v>
      </c>
      <c r="I4" s="5" t="s">
        <v>20</v>
      </c>
      <c r="J4" s="5" t="s">
        <v>21</v>
      </c>
      <c r="K4" s="14" t="s">
        <v>22</v>
      </c>
      <c r="L4" s="1"/>
      <c r="M4" s="1"/>
      <c r="N4" s="1"/>
      <c r="O4" s="5" t="s">
        <v>23</v>
      </c>
      <c r="P4" s="1"/>
      <c r="Q4" s="5"/>
      <c r="R4" s="1"/>
      <c r="T4" s="1"/>
      <c r="U4" s="1"/>
      <c r="X4" s="1"/>
      <c r="Y4" s="1"/>
    </row>
    <row r="5" spans="1:25" ht="15" customHeight="1" x14ac:dyDescent="0.25">
      <c r="A5" s="1"/>
      <c r="B5" s="1" t="s">
        <v>24</v>
      </c>
      <c r="C5" s="1"/>
      <c r="D5" s="10" t="str">
        <f>VLOOKUP(F5,Format!G:H,2,FALSE)</f>
        <v>Radio</v>
      </c>
      <c r="E5" s="10" t="str">
        <f>VLOOKUP(H5,Format!G:H,2,FALSE)</f>
        <v>CD player</v>
      </c>
      <c r="F5" s="15" t="s">
        <v>12</v>
      </c>
      <c r="G5" s="11" t="s">
        <v>25</v>
      </c>
      <c r="H5" s="16" t="s">
        <v>14</v>
      </c>
      <c r="I5" s="5" t="s">
        <v>26</v>
      </c>
      <c r="J5" s="5" t="s">
        <v>21</v>
      </c>
      <c r="K5" s="5" t="s">
        <v>21</v>
      </c>
      <c r="L5" s="13" t="s">
        <v>27</v>
      </c>
      <c r="M5" s="1"/>
      <c r="N5" s="5" t="s">
        <v>28</v>
      </c>
      <c r="O5" s="1"/>
      <c r="P5" s="1"/>
      <c r="Q5" s="5"/>
      <c r="R5" s="1"/>
      <c r="T5" s="1"/>
      <c r="U5" s="1"/>
      <c r="V5" s="17" t="s">
        <v>29</v>
      </c>
      <c r="X5" s="1"/>
      <c r="Y5" s="1"/>
    </row>
    <row r="6" spans="1:25" ht="12.75" customHeight="1" x14ac:dyDescent="0.2">
      <c r="A6" s="1" t="s">
        <v>30</v>
      </c>
      <c r="B6" s="1" t="s">
        <v>31</v>
      </c>
      <c r="C6" s="1"/>
      <c r="D6" s="10" t="str">
        <f>VLOOKUP(F6,Format!G:H,2,FALSE)</f>
        <v>Radio</v>
      </c>
      <c r="E6" s="10" t="str">
        <f>VLOOKUP(H6,Format!G:H,2,FALSE)</f>
        <v>CD player</v>
      </c>
      <c r="F6" s="7" t="s">
        <v>12</v>
      </c>
      <c r="G6" s="8" t="s">
        <v>25</v>
      </c>
      <c r="H6" s="9" t="s">
        <v>14</v>
      </c>
      <c r="I6" s="5">
        <v>38</v>
      </c>
      <c r="J6" s="5" t="s">
        <v>15</v>
      </c>
      <c r="K6" s="5" t="s">
        <v>21</v>
      </c>
      <c r="L6" s="18" t="s">
        <v>32</v>
      </c>
      <c r="M6" s="1"/>
      <c r="N6" s="5" t="s">
        <v>33</v>
      </c>
      <c r="O6" s="1"/>
      <c r="P6" s="1"/>
      <c r="Q6" s="1"/>
      <c r="R6" s="1"/>
      <c r="T6" s="1"/>
      <c r="U6" s="1"/>
      <c r="X6" s="1"/>
      <c r="Y6" s="1"/>
    </row>
    <row r="7" spans="1:25" ht="12.75" customHeight="1" x14ac:dyDescent="0.2">
      <c r="A7" s="1" t="s">
        <v>10</v>
      </c>
      <c r="B7" s="12" t="s">
        <v>34</v>
      </c>
      <c r="C7" s="1"/>
      <c r="D7" s="10" t="str">
        <f>VLOOKUP(F7,Format!G:H,2,FALSE)</f>
        <v>Radio</v>
      </c>
      <c r="E7" s="10" t="str">
        <f>VLOOKUP(H7,Format!G:H,2,FALSE)</f>
        <v>CD player</v>
      </c>
      <c r="F7" s="7" t="s">
        <v>12</v>
      </c>
      <c r="G7" s="8" t="s">
        <v>25</v>
      </c>
      <c r="H7" s="9" t="s">
        <v>14</v>
      </c>
      <c r="I7" s="5">
        <v>38</v>
      </c>
      <c r="J7" s="5" t="s">
        <v>35</v>
      </c>
      <c r="K7" s="5" t="s">
        <v>21</v>
      </c>
      <c r="L7" s="18" t="s">
        <v>36</v>
      </c>
      <c r="M7" s="1"/>
      <c r="N7" s="1"/>
      <c r="O7" s="5" t="s">
        <v>37</v>
      </c>
      <c r="P7" s="1"/>
      <c r="Q7" s="1"/>
      <c r="R7" s="1"/>
      <c r="T7" s="1"/>
      <c r="U7" s="1"/>
      <c r="X7" s="1"/>
      <c r="Y7" s="1"/>
    </row>
    <row r="8" spans="1:25" ht="12.75" customHeight="1" x14ac:dyDescent="0.2">
      <c r="A8" s="1" t="s">
        <v>30</v>
      </c>
      <c r="B8" s="1" t="s">
        <v>38</v>
      </c>
      <c r="C8" s="1"/>
      <c r="D8" s="10" t="str">
        <f>VLOOKUP(F8,Format!G:H,2,FALSE)</f>
        <v>Radio</v>
      </c>
      <c r="E8" s="10" t="str">
        <f>VLOOKUP(H8,Format!G:H,2,FALSE)</f>
        <v>CD player</v>
      </c>
      <c r="F8" s="7" t="s">
        <v>12</v>
      </c>
      <c r="G8" s="8" t="s">
        <v>25</v>
      </c>
      <c r="H8" s="9" t="s">
        <v>14</v>
      </c>
      <c r="I8" s="5">
        <v>38</v>
      </c>
      <c r="J8" s="5" t="s">
        <v>13</v>
      </c>
      <c r="K8" s="5" t="s">
        <v>21</v>
      </c>
      <c r="L8" s="18" t="s">
        <v>39</v>
      </c>
      <c r="M8" s="1"/>
      <c r="N8" s="1"/>
      <c r="O8" s="1"/>
      <c r="P8" s="1"/>
      <c r="Q8" s="1"/>
      <c r="R8" s="1"/>
      <c r="T8" s="1"/>
      <c r="U8" s="1"/>
      <c r="X8" s="1"/>
      <c r="Y8" s="1"/>
    </row>
    <row r="9" spans="1:25" ht="12.75" customHeight="1" x14ac:dyDescent="0.2">
      <c r="A9" s="1" t="s">
        <v>30</v>
      </c>
      <c r="B9" s="1" t="s">
        <v>40</v>
      </c>
      <c r="C9" s="1"/>
      <c r="D9" s="10" t="str">
        <f>VLOOKUP(F9,Format!G:H,2,FALSE)</f>
        <v>Radio</v>
      </c>
      <c r="E9" s="10" t="str">
        <f>VLOOKUP(H9,Format!G:H,2,FALSE)</f>
        <v>CD player</v>
      </c>
      <c r="F9" s="7" t="s">
        <v>12</v>
      </c>
      <c r="G9" s="8" t="s">
        <v>25</v>
      </c>
      <c r="H9" s="9" t="s">
        <v>14</v>
      </c>
      <c r="I9" s="5">
        <v>38</v>
      </c>
      <c r="J9" s="5" t="s">
        <v>18</v>
      </c>
      <c r="K9" s="5" t="s">
        <v>21</v>
      </c>
      <c r="L9" s="18" t="s">
        <v>41</v>
      </c>
      <c r="M9" s="1"/>
      <c r="N9" s="5" t="s">
        <v>42</v>
      </c>
      <c r="O9" s="1"/>
      <c r="P9" s="1"/>
      <c r="Q9" s="1"/>
      <c r="R9" s="1"/>
      <c r="T9" s="1"/>
      <c r="U9" s="1"/>
      <c r="X9" s="1"/>
      <c r="Y9" s="1"/>
    </row>
    <row r="10" spans="1:25" ht="12.75" customHeight="1" x14ac:dyDescent="0.2">
      <c r="A10" s="1" t="s">
        <v>30</v>
      </c>
      <c r="B10" s="1" t="s">
        <v>43</v>
      </c>
      <c r="C10" s="1"/>
      <c r="D10" s="10" t="str">
        <f>VLOOKUP(F10,Format!G:H,2,FALSE)</f>
        <v>Radio</v>
      </c>
      <c r="E10" s="10" t="str">
        <f>VLOOKUP(H10,Format!G:H,2,FALSE)</f>
        <v>CD player</v>
      </c>
      <c r="F10" s="7" t="s">
        <v>12</v>
      </c>
      <c r="G10" s="8" t="s">
        <v>25</v>
      </c>
      <c r="H10" s="9" t="s">
        <v>14</v>
      </c>
      <c r="I10" s="5">
        <v>38</v>
      </c>
      <c r="J10" s="5" t="s">
        <v>18</v>
      </c>
      <c r="K10" s="5" t="s">
        <v>15</v>
      </c>
      <c r="L10" s="18" t="s">
        <v>44</v>
      </c>
      <c r="M10" s="1"/>
      <c r="N10" s="5" t="s">
        <v>42</v>
      </c>
      <c r="O10" s="1"/>
      <c r="P10" s="1"/>
      <c r="Q10" s="1"/>
      <c r="R10" s="1"/>
      <c r="T10" s="1"/>
      <c r="U10" s="1"/>
      <c r="X10" s="1"/>
      <c r="Y10" s="1"/>
    </row>
    <row r="11" spans="1:25" ht="12.75" customHeight="1" x14ac:dyDescent="0.2">
      <c r="A11" s="1"/>
      <c r="B11" s="1"/>
      <c r="C11" s="1"/>
      <c r="D11" s="1"/>
      <c r="F11" s="7"/>
      <c r="G11" s="8"/>
      <c r="H11" s="9"/>
      <c r="I11" s="1"/>
      <c r="J11" s="1"/>
      <c r="K11" s="1"/>
      <c r="L11" s="1"/>
      <c r="M11" s="1"/>
      <c r="N11" s="1"/>
      <c r="O11" s="1"/>
      <c r="P11" s="1"/>
      <c r="Q11" s="1"/>
      <c r="R11" s="1"/>
      <c r="T11" s="1"/>
      <c r="U11" s="1"/>
      <c r="X11" s="1"/>
      <c r="Y11" s="1"/>
    </row>
    <row r="12" spans="1:25" ht="12.75" customHeight="1" x14ac:dyDescent="0.2">
      <c r="A12" s="1" t="s">
        <v>10</v>
      </c>
      <c r="B12" s="1" t="s">
        <v>45</v>
      </c>
      <c r="C12" s="1"/>
      <c r="D12" s="10" t="str">
        <f>VLOOKUP(F12,Format!G:H,2,FALSE)</f>
        <v>Radio</v>
      </c>
      <c r="E12" s="10" t="str">
        <f>VLOOKUP(H12,Format!G:H,2,FALSE)</f>
        <v>CD player</v>
      </c>
      <c r="F12" s="7" t="s">
        <v>12</v>
      </c>
      <c r="G12" s="8" t="s">
        <v>25</v>
      </c>
      <c r="H12" s="9" t="s">
        <v>14</v>
      </c>
      <c r="I12" s="5" t="s">
        <v>26</v>
      </c>
      <c r="J12" s="5" t="s">
        <v>46</v>
      </c>
      <c r="K12" s="5" t="s">
        <v>15</v>
      </c>
      <c r="L12" s="19" t="s">
        <v>47</v>
      </c>
      <c r="M12" s="1"/>
      <c r="N12" s="1"/>
      <c r="O12" s="1"/>
      <c r="P12" s="1"/>
      <c r="Q12" s="5"/>
      <c r="R12" s="1"/>
      <c r="T12" s="1"/>
      <c r="U12" s="1"/>
      <c r="X12" s="1"/>
      <c r="Y12" s="1"/>
    </row>
    <row r="13" spans="1:25" ht="12.75" customHeight="1" x14ac:dyDescent="0.2">
      <c r="A13" s="1" t="s">
        <v>10</v>
      </c>
      <c r="B13" s="1" t="s">
        <v>48</v>
      </c>
      <c r="C13" s="1"/>
      <c r="D13" s="10" t="str">
        <f>VLOOKUP(F13,Format!G:H,2,FALSE)</f>
        <v>Radio</v>
      </c>
      <c r="E13" s="10" t="str">
        <f>VLOOKUP(H13,Format!G:H,2,FALSE)</f>
        <v>CD player</v>
      </c>
      <c r="F13" s="7" t="s">
        <v>12</v>
      </c>
      <c r="G13" s="8" t="s">
        <v>25</v>
      </c>
      <c r="H13" s="9" t="s">
        <v>14</v>
      </c>
      <c r="I13" s="5" t="s">
        <v>26</v>
      </c>
      <c r="J13" s="5" t="s">
        <v>46</v>
      </c>
      <c r="K13" s="5" t="s">
        <v>35</v>
      </c>
      <c r="L13" s="1"/>
      <c r="M13" s="1"/>
      <c r="N13" s="1"/>
      <c r="O13" s="1"/>
      <c r="P13" s="1"/>
      <c r="Q13" s="5"/>
      <c r="R13" s="1"/>
      <c r="T13" s="1"/>
      <c r="U13" s="1"/>
      <c r="X13" s="1"/>
      <c r="Y13" s="1"/>
    </row>
    <row r="14" spans="1:25" ht="12.75" customHeight="1" x14ac:dyDescent="0.2">
      <c r="A14" s="1" t="s">
        <v>10</v>
      </c>
      <c r="B14" s="1" t="s">
        <v>49</v>
      </c>
      <c r="C14" s="1"/>
      <c r="D14" s="10" t="str">
        <f>VLOOKUP(F14,Format!G:H,2,FALSE)</f>
        <v>Radio</v>
      </c>
      <c r="E14" s="10" t="str">
        <f>VLOOKUP(H14,Format!G:H,2,FALSE)</f>
        <v>CD player</v>
      </c>
      <c r="F14" s="7" t="s">
        <v>12</v>
      </c>
      <c r="G14" s="8" t="s">
        <v>25</v>
      </c>
      <c r="H14" s="9" t="s">
        <v>14</v>
      </c>
      <c r="I14" s="5" t="s">
        <v>26</v>
      </c>
      <c r="J14" s="5" t="s">
        <v>46</v>
      </c>
      <c r="K14" s="5" t="s">
        <v>13</v>
      </c>
      <c r="L14" s="1"/>
      <c r="M14" s="1"/>
      <c r="N14" s="1"/>
      <c r="O14" s="1"/>
      <c r="P14" s="1"/>
      <c r="Q14" s="5"/>
      <c r="R14" s="1"/>
      <c r="T14" s="1"/>
      <c r="U14" s="1"/>
      <c r="X14" s="1"/>
      <c r="Y14" s="1"/>
    </row>
    <row r="15" spans="1:25" ht="12.75" customHeight="1" x14ac:dyDescent="0.2">
      <c r="A15" s="1" t="s">
        <v>10</v>
      </c>
      <c r="B15" s="1" t="s">
        <v>50</v>
      </c>
      <c r="C15" s="1"/>
      <c r="D15" s="10" t="str">
        <f>VLOOKUP(F15,Format!G:H,2,FALSE)</f>
        <v>Radio</v>
      </c>
      <c r="E15" s="10" t="str">
        <f>VLOOKUP(H15,Format!G:H,2,FALSE)</f>
        <v>CD player</v>
      </c>
      <c r="F15" s="7" t="s">
        <v>12</v>
      </c>
      <c r="G15" s="8" t="s">
        <v>25</v>
      </c>
      <c r="H15" s="9" t="s">
        <v>14</v>
      </c>
      <c r="I15" s="5" t="s">
        <v>26</v>
      </c>
      <c r="J15" s="5" t="s">
        <v>46</v>
      </c>
      <c r="K15" s="5" t="s">
        <v>18</v>
      </c>
      <c r="L15" s="1"/>
      <c r="M15" s="1"/>
      <c r="N15" s="1"/>
      <c r="O15" s="1"/>
      <c r="P15" s="1"/>
      <c r="Q15" s="5"/>
      <c r="R15" s="1"/>
      <c r="T15" s="1" t="s">
        <v>4</v>
      </c>
      <c r="U15" s="1"/>
      <c r="V15" s="1" t="s">
        <v>51</v>
      </c>
      <c r="X15" s="1"/>
      <c r="Y15" s="1"/>
    </row>
    <row r="16" spans="1:25" ht="12.75" customHeight="1" x14ac:dyDescent="0.2">
      <c r="A16" s="1" t="s">
        <v>10</v>
      </c>
      <c r="B16" s="1" t="s">
        <v>52</v>
      </c>
      <c r="C16" s="1"/>
      <c r="D16" s="10" t="str">
        <f>VLOOKUP(F16,Format!G:H,2,FALSE)</f>
        <v>Radio</v>
      </c>
      <c r="E16" s="10" t="str">
        <f>VLOOKUP(H16,Format!G:H,2,FALSE)</f>
        <v>CD player</v>
      </c>
      <c r="F16" s="7" t="s">
        <v>12</v>
      </c>
      <c r="G16" s="8" t="s">
        <v>25</v>
      </c>
      <c r="H16" s="9" t="s">
        <v>14</v>
      </c>
      <c r="I16" s="5" t="s">
        <v>26</v>
      </c>
      <c r="J16" s="5" t="s">
        <v>46</v>
      </c>
      <c r="K16" s="5" t="s">
        <v>25</v>
      </c>
      <c r="L16" s="1"/>
      <c r="M16" s="1"/>
      <c r="N16" s="1"/>
      <c r="O16" s="1"/>
      <c r="P16" s="1"/>
      <c r="Q16" s="5"/>
      <c r="R16" s="1"/>
      <c r="T16" s="1" t="s">
        <v>21</v>
      </c>
      <c r="U16" s="1" t="s">
        <v>53</v>
      </c>
      <c r="V16" s="1" t="s">
        <v>21</v>
      </c>
      <c r="W16" s="1" t="s">
        <v>54</v>
      </c>
      <c r="X16" s="1"/>
      <c r="Y16" s="1"/>
    </row>
    <row r="17" spans="1:25" ht="12.75" customHeight="1" x14ac:dyDescent="0.2">
      <c r="A17" s="1" t="s">
        <v>10</v>
      </c>
      <c r="B17" s="1" t="s">
        <v>55</v>
      </c>
      <c r="C17" s="1"/>
      <c r="D17" s="10" t="str">
        <f>VLOOKUP(F17,Format!G:H,2,FALSE)</f>
        <v>Radio</v>
      </c>
      <c r="E17" s="10" t="str">
        <f>VLOOKUP(H17,Format!G:H,2,FALSE)</f>
        <v>CD player</v>
      </c>
      <c r="F17" s="7" t="s">
        <v>12</v>
      </c>
      <c r="G17" s="8" t="s">
        <v>25</v>
      </c>
      <c r="H17" s="9" t="s">
        <v>14</v>
      </c>
      <c r="I17" s="5" t="s">
        <v>26</v>
      </c>
      <c r="J17" s="5" t="s">
        <v>46</v>
      </c>
      <c r="K17" s="5" t="s">
        <v>46</v>
      </c>
      <c r="L17" s="1"/>
      <c r="M17" s="1"/>
      <c r="N17" s="1"/>
      <c r="O17" s="1"/>
      <c r="P17" s="1"/>
      <c r="Q17" s="5"/>
      <c r="R17" s="1"/>
      <c r="T17" s="1" t="s">
        <v>15</v>
      </c>
      <c r="U17" s="1" t="s">
        <v>31</v>
      </c>
      <c r="V17" s="1" t="s">
        <v>15</v>
      </c>
      <c r="W17" s="1" t="s">
        <v>56</v>
      </c>
      <c r="X17" s="1"/>
      <c r="Y17" s="1"/>
    </row>
    <row r="18" spans="1:25" ht="12.75" customHeight="1" x14ac:dyDescent="0.2">
      <c r="A18" s="1"/>
      <c r="B18" s="1"/>
      <c r="C18" s="1"/>
      <c r="D18" s="1"/>
      <c r="F18" s="7"/>
      <c r="G18" s="8"/>
      <c r="H18" s="9"/>
      <c r="I18" s="1"/>
      <c r="J18" s="1"/>
      <c r="K18" s="5"/>
      <c r="L18" s="1"/>
      <c r="M18" s="1"/>
      <c r="N18" s="1"/>
      <c r="O18" s="1"/>
      <c r="P18" s="1"/>
      <c r="Q18" s="5"/>
      <c r="R18" s="1"/>
      <c r="T18" s="1" t="s">
        <v>35</v>
      </c>
      <c r="U18" s="1" t="s">
        <v>34</v>
      </c>
      <c r="V18" s="1" t="s">
        <v>35</v>
      </c>
      <c r="X18" s="1"/>
      <c r="Y18" s="1"/>
    </row>
    <row r="19" spans="1:25" ht="12.75" customHeight="1" x14ac:dyDescent="0.2">
      <c r="A19" s="1" t="s">
        <v>10</v>
      </c>
      <c r="B19" s="1" t="s">
        <v>57</v>
      </c>
      <c r="C19" s="1"/>
      <c r="D19" s="10" t="str">
        <f>VLOOKUP(F19,Format!G:H,2,FALSE)</f>
        <v>Radio</v>
      </c>
      <c r="E19" s="10" t="str">
        <f>VLOOKUP(H19,Format!G:H,2,FALSE)</f>
        <v>CD player</v>
      </c>
      <c r="F19" s="7" t="s">
        <v>12</v>
      </c>
      <c r="G19" s="8" t="s">
        <v>25</v>
      </c>
      <c r="H19" s="9" t="s">
        <v>14</v>
      </c>
      <c r="I19" s="5" t="s">
        <v>26</v>
      </c>
      <c r="J19" s="5" t="s">
        <v>58</v>
      </c>
      <c r="K19" s="5" t="s">
        <v>15</v>
      </c>
      <c r="L19" s="18" t="s">
        <v>59</v>
      </c>
      <c r="M19" s="1"/>
      <c r="N19" s="1"/>
      <c r="O19" s="1"/>
      <c r="P19" s="1"/>
      <c r="Q19" s="5"/>
      <c r="R19" s="1"/>
      <c r="T19" s="1" t="s">
        <v>13</v>
      </c>
      <c r="U19" s="1" t="s">
        <v>38</v>
      </c>
      <c r="X19" s="1"/>
      <c r="Y19" s="1"/>
    </row>
    <row r="20" spans="1:25" ht="12.75" customHeight="1" x14ac:dyDescent="0.2">
      <c r="A20" s="1" t="s">
        <v>10</v>
      </c>
      <c r="B20" s="1" t="s">
        <v>60</v>
      </c>
      <c r="C20" s="1"/>
      <c r="D20" s="10" t="str">
        <f>VLOOKUP(F20,Format!G:H,2,FALSE)</f>
        <v>Radio</v>
      </c>
      <c r="E20" s="10" t="str">
        <f>VLOOKUP(H20,Format!G:H,2,FALSE)</f>
        <v>CD player</v>
      </c>
      <c r="F20" s="7" t="s">
        <v>12</v>
      </c>
      <c r="G20" s="8" t="s">
        <v>25</v>
      </c>
      <c r="H20" s="9" t="s">
        <v>14</v>
      </c>
      <c r="I20" s="5" t="s">
        <v>26</v>
      </c>
      <c r="J20" s="5" t="s">
        <v>58</v>
      </c>
      <c r="K20" s="5" t="s">
        <v>21</v>
      </c>
      <c r="L20" s="18" t="s">
        <v>47</v>
      </c>
      <c r="M20" s="1"/>
      <c r="N20" s="1"/>
      <c r="O20" s="1"/>
      <c r="P20" s="1"/>
      <c r="Q20" s="5"/>
      <c r="R20" s="1"/>
      <c r="T20" s="1" t="s">
        <v>18</v>
      </c>
      <c r="U20" s="1" t="s">
        <v>61</v>
      </c>
      <c r="X20" s="1"/>
      <c r="Y20" s="1"/>
    </row>
    <row r="21" spans="1:25" ht="12.75" customHeight="1" x14ac:dyDescent="0.2">
      <c r="A21" s="1"/>
      <c r="B21" s="1"/>
      <c r="C21" s="1"/>
      <c r="D21" s="1"/>
      <c r="F21" s="7"/>
      <c r="G21" s="8"/>
      <c r="H21" s="9"/>
      <c r="I21" s="1"/>
      <c r="J21" s="1"/>
      <c r="K21" s="1"/>
      <c r="L21" s="1"/>
      <c r="M21" s="1"/>
      <c r="N21" s="1"/>
      <c r="O21" s="1"/>
      <c r="P21" s="1"/>
      <c r="Q21" s="5"/>
      <c r="R21" s="1"/>
      <c r="T21" s="1" t="s">
        <v>25</v>
      </c>
      <c r="U21" s="1"/>
      <c r="X21" s="1"/>
      <c r="Y21" s="1"/>
    </row>
    <row r="22" spans="1:25" ht="12.75" customHeight="1" x14ac:dyDescent="0.2">
      <c r="A22" s="1" t="s">
        <v>10</v>
      </c>
      <c r="B22" s="1" t="s">
        <v>62</v>
      </c>
      <c r="C22" s="1"/>
      <c r="D22" s="10" t="str">
        <f>VLOOKUP(F22,Format!G:H,2,FALSE)</f>
        <v>Radio</v>
      </c>
      <c r="E22" s="10" t="str">
        <f>VLOOKUP(H22,Format!G:H,2,FALSE)</f>
        <v>CD player</v>
      </c>
      <c r="F22" s="7" t="s">
        <v>12</v>
      </c>
      <c r="G22" s="8" t="s">
        <v>25</v>
      </c>
      <c r="H22" s="9" t="s">
        <v>14</v>
      </c>
      <c r="I22" s="5" t="s">
        <v>26</v>
      </c>
      <c r="J22" s="5" t="s">
        <v>63</v>
      </c>
      <c r="K22" s="5" t="s">
        <v>15</v>
      </c>
      <c r="L22" s="18">
        <v>44</v>
      </c>
      <c r="M22" s="1"/>
      <c r="N22" s="1"/>
      <c r="O22" s="1"/>
      <c r="P22" s="1"/>
      <c r="Q22" s="5"/>
      <c r="R22" s="1"/>
      <c r="T22" s="1" t="s">
        <v>46</v>
      </c>
      <c r="U22" s="1" t="s">
        <v>64</v>
      </c>
      <c r="X22" s="1"/>
      <c r="Y22" s="1"/>
    </row>
    <row r="23" spans="1:25" ht="12.75" customHeight="1" x14ac:dyDescent="0.2">
      <c r="A23" s="1" t="s">
        <v>10</v>
      </c>
      <c r="B23" s="1" t="s">
        <v>65</v>
      </c>
      <c r="C23" s="1"/>
      <c r="D23" s="10" t="str">
        <f>VLOOKUP(F23,Format!G:H,2,FALSE)</f>
        <v>Radio</v>
      </c>
      <c r="E23" s="10" t="str">
        <f>VLOOKUP(H23,Format!G:H,2,FALSE)</f>
        <v>CD player</v>
      </c>
      <c r="F23" s="7" t="s">
        <v>12</v>
      </c>
      <c r="G23" s="8" t="s">
        <v>25</v>
      </c>
      <c r="H23" s="9" t="s">
        <v>14</v>
      </c>
      <c r="I23" s="5" t="s">
        <v>26</v>
      </c>
      <c r="J23" s="5" t="s">
        <v>63</v>
      </c>
      <c r="K23" s="5" t="s">
        <v>21</v>
      </c>
      <c r="L23" s="18" t="s">
        <v>66</v>
      </c>
      <c r="M23" s="1"/>
      <c r="N23" s="1"/>
      <c r="O23" s="1"/>
      <c r="P23" s="1"/>
      <c r="Q23" s="5"/>
      <c r="R23" s="1"/>
      <c r="T23" s="1" t="s">
        <v>58</v>
      </c>
      <c r="U23" s="1" t="s">
        <v>67</v>
      </c>
      <c r="X23" s="1"/>
      <c r="Y23" s="1"/>
    </row>
    <row r="24" spans="1:25" ht="12.75" customHeight="1" x14ac:dyDescent="0.2">
      <c r="A24" s="1"/>
      <c r="B24" s="1"/>
      <c r="C24" s="1"/>
      <c r="D24" s="1"/>
      <c r="F24" s="1"/>
      <c r="G24" s="1"/>
      <c r="H24" s="1"/>
      <c r="I24" s="1"/>
      <c r="J24" s="1"/>
      <c r="K24" s="1"/>
      <c r="L24" s="1"/>
      <c r="M24" s="1"/>
      <c r="N24" s="1"/>
      <c r="O24" s="1"/>
      <c r="P24" s="1"/>
      <c r="Q24" s="1"/>
      <c r="R24" s="1"/>
      <c r="T24" s="1" t="s">
        <v>63</v>
      </c>
      <c r="U24" s="1" t="s">
        <v>68</v>
      </c>
      <c r="X24" s="1"/>
      <c r="Y24" s="1"/>
    </row>
    <row r="25" spans="1:25" ht="12.75" customHeight="1" x14ac:dyDescent="0.2">
      <c r="A25" s="1" t="s">
        <v>10</v>
      </c>
      <c r="B25" s="1" t="s">
        <v>69</v>
      </c>
      <c r="C25" s="1"/>
      <c r="D25" s="10" t="str">
        <f>VLOOKUP(F25,Format!G:H,2,FALSE)</f>
        <v>Radio</v>
      </c>
      <c r="E25" s="10" t="str">
        <f>VLOOKUP(H25,Format!G:H,2,FALSE)</f>
        <v>CD player</v>
      </c>
      <c r="F25" s="7" t="s">
        <v>12</v>
      </c>
      <c r="G25" s="8" t="s">
        <v>18</v>
      </c>
      <c r="H25" s="9" t="s">
        <v>14</v>
      </c>
      <c r="I25" s="5" t="s">
        <v>70</v>
      </c>
      <c r="J25" s="5" t="s">
        <v>21</v>
      </c>
      <c r="K25" s="14">
        <v>47</v>
      </c>
      <c r="L25" s="1"/>
      <c r="M25" s="1"/>
      <c r="N25" s="1"/>
      <c r="O25" s="1"/>
      <c r="P25" s="1"/>
      <c r="Q25" s="5"/>
      <c r="R25" s="1"/>
      <c r="T25" s="1" t="s">
        <v>71</v>
      </c>
      <c r="U25" s="1"/>
      <c r="X25" s="1"/>
      <c r="Y25" s="1"/>
    </row>
    <row r="26" spans="1:25" ht="12.75" customHeight="1" x14ac:dyDescent="0.2">
      <c r="A26" s="1" t="s">
        <v>10</v>
      </c>
      <c r="B26" s="1" t="s">
        <v>72</v>
      </c>
      <c r="C26" s="1"/>
      <c r="D26" s="10" t="str">
        <f>VLOOKUP(F26,Format!G:H,2,FALSE)</f>
        <v>Radio</v>
      </c>
      <c r="E26" s="10" t="str">
        <f>VLOOKUP(H26,Format!G:H,2,FALSE)</f>
        <v>CD player</v>
      </c>
      <c r="F26" s="7" t="s">
        <v>12</v>
      </c>
      <c r="G26" s="8" t="s">
        <v>18</v>
      </c>
      <c r="H26" s="9" t="s">
        <v>14</v>
      </c>
      <c r="I26" s="5" t="s">
        <v>70</v>
      </c>
      <c r="J26" s="5" t="s">
        <v>15</v>
      </c>
      <c r="K26" s="19" t="s">
        <v>73</v>
      </c>
      <c r="L26" s="1"/>
      <c r="M26" s="1"/>
      <c r="N26" s="1"/>
      <c r="O26" s="1"/>
      <c r="P26" s="1"/>
      <c r="Q26" s="5"/>
      <c r="R26" s="1"/>
      <c r="T26" s="1" t="s">
        <v>70</v>
      </c>
      <c r="U26" s="1"/>
      <c r="X26" s="1"/>
      <c r="Y26" s="1"/>
    </row>
    <row r="27" spans="1:25" ht="12.75" customHeight="1" x14ac:dyDescent="0.2">
      <c r="A27" s="1"/>
      <c r="B27" s="1" t="s">
        <v>74</v>
      </c>
      <c r="C27" s="1"/>
      <c r="D27" s="1"/>
      <c r="F27" s="7" t="s">
        <v>12</v>
      </c>
      <c r="G27" s="8" t="s">
        <v>25</v>
      </c>
      <c r="H27" s="9" t="s">
        <v>14</v>
      </c>
      <c r="I27" s="5" t="s">
        <v>26</v>
      </c>
      <c r="J27" s="5" t="s">
        <v>75</v>
      </c>
      <c r="K27" s="5" t="s">
        <v>76</v>
      </c>
      <c r="L27" s="18" t="s">
        <v>44</v>
      </c>
      <c r="M27" s="1"/>
      <c r="N27" s="1"/>
      <c r="O27" s="1"/>
      <c r="P27" s="1"/>
      <c r="Q27" s="5"/>
      <c r="R27" s="1"/>
      <c r="T27" s="1" t="s">
        <v>77</v>
      </c>
      <c r="U27" s="1"/>
      <c r="X27" s="1"/>
      <c r="Y27" s="1"/>
    </row>
    <row r="28" spans="1:25" ht="12.75" customHeight="1" x14ac:dyDescent="0.2">
      <c r="A28" s="1"/>
      <c r="B28" s="1" t="s">
        <v>78</v>
      </c>
      <c r="C28" s="1"/>
      <c r="D28" s="1"/>
      <c r="F28" s="7" t="s">
        <v>12</v>
      </c>
      <c r="G28" s="8" t="s">
        <v>25</v>
      </c>
      <c r="H28" s="9" t="s">
        <v>14</v>
      </c>
      <c r="I28" s="5" t="s">
        <v>26</v>
      </c>
      <c r="J28" s="5" t="s">
        <v>75</v>
      </c>
      <c r="K28" s="5" t="s">
        <v>79</v>
      </c>
      <c r="L28" s="18" t="s">
        <v>41</v>
      </c>
      <c r="M28" s="1"/>
      <c r="N28" s="1"/>
      <c r="O28" s="1"/>
      <c r="P28" s="1"/>
      <c r="Q28" s="5"/>
      <c r="R28" s="1"/>
      <c r="T28" s="1" t="s">
        <v>80</v>
      </c>
      <c r="U28" s="1"/>
      <c r="X28" s="1"/>
      <c r="Y28" s="1"/>
    </row>
    <row r="29" spans="1:25" ht="12.75" customHeight="1" x14ac:dyDescent="0.2">
      <c r="A29" s="1"/>
      <c r="B29" s="1" t="s">
        <v>81</v>
      </c>
      <c r="C29" s="1"/>
      <c r="D29" s="1"/>
      <c r="F29" s="7" t="s">
        <v>12</v>
      </c>
      <c r="G29" s="8" t="s">
        <v>25</v>
      </c>
      <c r="H29" s="9" t="s">
        <v>14</v>
      </c>
      <c r="I29" s="5" t="s">
        <v>26</v>
      </c>
      <c r="J29" s="5" t="s">
        <v>82</v>
      </c>
      <c r="K29" s="5" t="s">
        <v>76</v>
      </c>
      <c r="L29" s="18" t="s">
        <v>39</v>
      </c>
      <c r="M29" s="1"/>
      <c r="N29" s="1"/>
      <c r="O29" s="5" t="s">
        <v>83</v>
      </c>
      <c r="P29" s="1"/>
      <c r="Q29" s="5"/>
      <c r="R29" s="1"/>
      <c r="T29" s="1" t="s">
        <v>84</v>
      </c>
      <c r="U29" s="1"/>
      <c r="X29" s="1"/>
      <c r="Y29" s="1"/>
    </row>
    <row r="30" spans="1:25" ht="12.75" customHeight="1" x14ac:dyDescent="0.2">
      <c r="A30" s="1"/>
      <c r="B30" s="1"/>
      <c r="C30" s="1"/>
      <c r="D30" s="1"/>
      <c r="F30" s="7"/>
      <c r="G30" s="8"/>
      <c r="H30" s="9"/>
      <c r="I30" s="1"/>
      <c r="J30" s="1"/>
      <c r="K30" s="1"/>
      <c r="L30" s="18"/>
      <c r="M30" s="1"/>
      <c r="N30" s="1"/>
      <c r="O30" s="1"/>
      <c r="P30" s="1"/>
      <c r="Q30" s="5"/>
      <c r="R30" s="1"/>
      <c r="T30" s="1" t="s">
        <v>85</v>
      </c>
      <c r="U30" s="1"/>
      <c r="X30" s="1"/>
      <c r="Y30" s="1"/>
    </row>
    <row r="31" spans="1:25" ht="12.75" customHeight="1" x14ac:dyDescent="0.2">
      <c r="A31" s="1"/>
      <c r="B31" s="1"/>
      <c r="C31" s="1"/>
      <c r="D31" s="1"/>
      <c r="F31" s="1"/>
      <c r="G31" s="1"/>
      <c r="H31" s="1"/>
      <c r="I31" s="1"/>
      <c r="J31" s="1"/>
      <c r="K31" s="1"/>
      <c r="L31" s="1"/>
      <c r="M31" s="1"/>
      <c r="N31" s="1"/>
      <c r="O31" s="1"/>
      <c r="P31" s="1"/>
      <c r="Q31" s="1"/>
      <c r="R31" s="1"/>
      <c r="T31" s="1" t="s">
        <v>86</v>
      </c>
      <c r="U31" s="1"/>
      <c r="X31" s="1"/>
      <c r="Y31" s="1"/>
    </row>
    <row r="32" spans="1:25" ht="15.75" customHeight="1" x14ac:dyDescent="0.25">
      <c r="A32" s="1" t="s">
        <v>87</v>
      </c>
      <c r="B32" s="6" t="s">
        <v>88</v>
      </c>
      <c r="C32" s="1"/>
      <c r="D32" s="1"/>
      <c r="F32" s="1"/>
      <c r="G32" s="1"/>
      <c r="H32" s="1"/>
      <c r="I32" s="1"/>
      <c r="J32" s="1"/>
      <c r="K32" s="1"/>
      <c r="L32" s="1"/>
      <c r="M32" s="1"/>
      <c r="N32" s="1"/>
      <c r="O32" s="1"/>
      <c r="P32" s="1"/>
      <c r="Q32" s="5"/>
      <c r="R32" s="1"/>
      <c r="T32" s="1" t="s">
        <v>89</v>
      </c>
      <c r="U32" s="1"/>
      <c r="X32" s="1"/>
      <c r="Y32" s="1"/>
    </row>
    <row r="33" spans="1:26" ht="12.75" customHeight="1" x14ac:dyDescent="0.2">
      <c r="A33" s="1"/>
      <c r="B33" s="1" t="s">
        <v>90</v>
      </c>
      <c r="C33" s="1"/>
      <c r="D33" s="1"/>
      <c r="F33" s="1"/>
      <c r="G33" s="1"/>
      <c r="H33" s="1"/>
      <c r="I33" s="1"/>
      <c r="J33" s="1"/>
      <c r="K33" s="1"/>
      <c r="L33" s="1"/>
      <c r="M33" s="1"/>
      <c r="N33" s="1"/>
      <c r="O33" s="1"/>
      <c r="P33" s="1"/>
      <c r="Q33" s="5"/>
      <c r="R33" s="1"/>
      <c r="T33" s="1"/>
      <c r="U33" s="1"/>
      <c r="X33" s="1"/>
      <c r="Y33" s="1"/>
    </row>
    <row r="34" spans="1:26" ht="12.75" customHeight="1" x14ac:dyDescent="0.2">
      <c r="A34" s="1" t="s">
        <v>91</v>
      </c>
      <c r="B34" s="1" t="s">
        <v>92</v>
      </c>
      <c r="C34" s="1"/>
      <c r="D34" s="10" t="str">
        <f>VLOOKUP(F34,Format!G:H,2,FALSE)</f>
        <v>CD player</v>
      </c>
      <c r="E34" s="10" t="str">
        <f>VLOOKUP(H34,Format!G:H,2,FALSE)</f>
        <v>General news 2</v>
      </c>
      <c r="F34" s="15" t="s">
        <v>14</v>
      </c>
      <c r="G34" s="11" t="s">
        <v>18</v>
      </c>
      <c r="H34" s="16" t="s">
        <v>19</v>
      </c>
      <c r="I34" s="5" t="s">
        <v>35</v>
      </c>
      <c r="J34" s="5" t="s">
        <v>15</v>
      </c>
      <c r="K34" s="13" t="s">
        <v>93</v>
      </c>
      <c r="L34" s="1" t="s">
        <v>94</v>
      </c>
      <c r="M34" s="1"/>
      <c r="N34" s="1"/>
      <c r="O34" s="1"/>
      <c r="P34" s="1"/>
      <c r="Q34" s="5"/>
      <c r="R34" s="1"/>
      <c r="T34" s="1"/>
      <c r="U34" s="1"/>
      <c r="X34" s="1"/>
      <c r="Y34" s="1"/>
    </row>
    <row r="35" spans="1:26" ht="12.75" customHeight="1" x14ac:dyDescent="0.2">
      <c r="A35" s="1" t="s">
        <v>91</v>
      </c>
      <c r="B35" s="1" t="s">
        <v>95</v>
      </c>
      <c r="C35" s="1"/>
      <c r="D35" s="10" t="str">
        <f>VLOOKUP(F35,Format!G:H,2,FALSE)</f>
        <v>CD player</v>
      </c>
      <c r="E35" s="10" t="str">
        <f>VLOOKUP(H35,Format!G:H,2,FALSE)</f>
        <v>General news 2</v>
      </c>
      <c r="F35" s="15" t="s">
        <v>14</v>
      </c>
      <c r="G35" s="11" t="s">
        <v>18</v>
      </c>
      <c r="H35" s="16" t="s">
        <v>19</v>
      </c>
      <c r="I35" s="5" t="s">
        <v>35</v>
      </c>
      <c r="J35" s="5" t="s">
        <v>21</v>
      </c>
      <c r="K35" s="13" t="s">
        <v>96</v>
      </c>
      <c r="L35" s="1" t="s">
        <v>97</v>
      </c>
      <c r="M35" s="1"/>
      <c r="N35" s="1"/>
      <c r="O35" s="1"/>
      <c r="P35" s="1"/>
      <c r="Q35" s="5"/>
      <c r="R35" s="1"/>
      <c r="T35" s="1"/>
      <c r="U35" s="1"/>
      <c r="X35" s="1"/>
      <c r="Y35" s="1"/>
    </row>
    <row r="36" spans="1:26" ht="12.75" customHeight="1" x14ac:dyDescent="0.2">
      <c r="A36" s="1"/>
      <c r="B36" s="1"/>
      <c r="C36" s="1"/>
      <c r="D36" s="1"/>
      <c r="F36" s="15"/>
      <c r="G36" s="11"/>
      <c r="H36" s="16"/>
      <c r="I36" s="1"/>
      <c r="J36" s="1"/>
      <c r="K36" s="1"/>
      <c r="L36" s="1"/>
      <c r="M36" s="1"/>
      <c r="N36" s="1"/>
      <c r="O36" s="1"/>
      <c r="P36" s="1"/>
      <c r="Q36" s="5"/>
      <c r="R36" s="1"/>
      <c r="T36" s="1"/>
      <c r="U36" s="1"/>
      <c r="X36" s="1"/>
      <c r="Y36" s="1"/>
    </row>
    <row r="37" spans="1:26" ht="12.75" customHeight="1" x14ac:dyDescent="0.2">
      <c r="A37" s="1" t="s">
        <v>87</v>
      </c>
      <c r="B37" s="1"/>
      <c r="C37" s="1"/>
      <c r="D37" s="1"/>
      <c r="F37" s="15"/>
      <c r="G37" s="11"/>
      <c r="H37" s="16"/>
      <c r="I37" s="1"/>
      <c r="J37" s="1"/>
      <c r="K37" s="1"/>
      <c r="L37" s="1"/>
      <c r="M37" s="1"/>
      <c r="N37" s="1"/>
      <c r="O37" s="1"/>
      <c r="P37" s="1"/>
      <c r="Q37" s="5"/>
      <c r="R37" s="1"/>
      <c r="T37" s="1"/>
      <c r="U37" s="1"/>
      <c r="X37" s="1"/>
      <c r="Y37" s="1"/>
    </row>
    <row r="38" spans="1:26" ht="12.75" customHeight="1" x14ac:dyDescent="0.2">
      <c r="A38" s="1"/>
      <c r="B38" s="1" t="s">
        <v>98</v>
      </c>
      <c r="C38" s="1"/>
      <c r="D38" s="1"/>
      <c r="F38" s="15"/>
      <c r="G38" s="11"/>
      <c r="H38" s="16"/>
      <c r="I38" s="1"/>
      <c r="J38" s="5" t="s">
        <v>4</v>
      </c>
      <c r="K38" s="1" t="s">
        <v>5</v>
      </c>
      <c r="L38" s="1" t="s">
        <v>6</v>
      </c>
      <c r="M38" s="1" t="s">
        <v>7</v>
      </c>
      <c r="N38" s="1" t="s">
        <v>8</v>
      </c>
      <c r="O38" s="1" t="s">
        <v>99</v>
      </c>
      <c r="P38" s="1" t="s">
        <v>100</v>
      </c>
      <c r="Q38" s="5"/>
      <c r="R38" s="1"/>
      <c r="T38" s="1"/>
      <c r="U38" s="1"/>
      <c r="X38" s="1"/>
      <c r="Y38" s="1"/>
    </row>
    <row r="39" spans="1:26" ht="12.75" customHeight="1" x14ac:dyDescent="0.2">
      <c r="A39" s="1"/>
      <c r="B39" s="1" t="s">
        <v>101</v>
      </c>
      <c r="C39" s="1"/>
      <c r="D39" s="10" t="str">
        <f>VLOOKUP(F39,Format!G:H,2,FALSE)</f>
        <v>CD player</v>
      </c>
      <c r="E39" s="10" t="str">
        <f>VLOOKUP(H39,Format!G:H,2,FALSE)</f>
        <v>Radio</v>
      </c>
      <c r="F39" s="15" t="s">
        <v>14</v>
      </c>
      <c r="G39" s="11" t="s">
        <v>70</v>
      </c>
      <c r="H39" s="16" t="s">
        <v>12</v>
      </c>
      <c r="I39" s="5" t="s">
        <v>102</v>
      </c>
      <c r="J39" s="5" t="s">
        <v>21</v>
      </c>
      <c r="K39" s="5" t="s">
        <v>35</v>
      </c>
      <c r="L39" s="5" t="s">
        <v>21</v>
      </c>
      <c r="M39" s="5" t="s">
        <v>103</v>
      </c>
      <c r="N39" s="5" t="s">
        <v>21</v>
      </c>
      <c r="O39" s="20" t="s">
        <v>21</v>
      </c>
      <c r="P39" s="20" t="s">
        <v>21</v>
      </c>
      <c r="Q39" s="14"/>
      <c r="R39" s="1" t="s">
        <v>31</v>
      </c>
      <c r="S39" s="1" t="s">
        <v>104</v>
      </c>
      <c r="T39" s="1"/>
      <c r="U39" s="1"/>
      <c r="X39" s="1"/>
      <c r="Y39" s="1"/>
      <c r="Z39" s="1" t="s">
        <v>105</v>
      </c>
    </row>
    <row r="40" spans="1:26" ht="12.75" customHeight="1" x14ac:dyDescent="0.2">
      <c r="A40" s="1"/>
      <c r="B40" s="1" t="s">
        <v>106</v>
      </c>
      <c r="C40" s="1"/>
      <c r="D40" s="10" t="str">
        <f>VLOOKUP(F40,Format!G:H,2,FALSE)</f>
        <v>CD player</v>
      </c>
      <c r="E40" s="10" t="str">
        <f>VLOOKUP(H40,Format!G:H,2,FALSE)</f>
        <v>Radio</v>
      </c>
      <c r="F40" s="15" t="s">
        <v>14</v>
      </c>
      <c r="G40" s="11" t="s">
        <v>70</v>
      </c>
      <c r="H40" s="16" t="s">
        <v>12</v>
      </c>
      <c r="I40" s="5" t="s">
        <v>102</v>
      </c>
      <c r="J40" s="21" t="s">
        <v>15</v>
      </c>
      <c r="K40" s="5" t="s">
        <v>71</v>
      </c>
      <c r="L40" s="5" t="s">
        <v>21</v>
      </c>
      <c r="M40" s="5" t="s">
        <v>103</v>
      </c>
      <c r="N40" s="5" t="s">
        <v>21</v>
      </c>
      <c r="O40" s="20" t="s">
        <v>21</v>
      </c>
      <c r="P40" s="20" t="s">
        <v>21</v>
      </c>
      <c r="Q40" s="14"/>
      <c r="R40" s="1" t="s">
        <v>34</v>
      </c>
      <c r="S40" s="1" t="s">
        <v>107</v>
      </c>
      <c r="T40" s="1"/>
      <c r="U40" s="1"/>
      <c r="X40" s="1"/>
      <c r="Y40" s="1"/>
    </row>
    <row r="41" spans="1:26" ht="12.75" customHeight="1" x14ac:dyDescent="0.2">
      <c r="A41" s="1"/>
      <c r="B41" s="1" t="s">
        <v>108</v>
      </c>
      <c r="C41" s="1"/>
      <c r="D41" s="10" t="str">
        <f>VLOOKUP(F41,Format!G:H,2,FALSE)</f>
        <v>CD player</v>
      </c>
      <c r="E41" s="10" t="str">
        <f>VLOOKUP(H41,Format!G:H,2,FALSE)</f>
        <v>Radio</v>
      </c>
      <c r="F41" s="15" t="s">
        <v>14</v>
      </c>
      <c r="G41" s="11" t="s">
        <v>70</v>
      </c>
      <c r="H41" s="16" t="s">
        <v>12</v>
      </c>
      <c r="I41" s="5" t="s">
        <v>102</v>
      </c>
      <c r="J41" s="21" t="s">
        <v>35</v>
      </c>
      <c r="K41" s="5" t="s">
        <v>71</v>
      </c>
      <c r="L41" s="5" t="s">
        <v>21</v>
      </c>
      <c r="M41" s="5" t="s">
        <v>103</v>
      </c>
      <c r="N41" s="5" t="s">
        <v>21</v>
      </c>
      <c r="O41" s="20" t="s">
        <v>21</v>
      </c>
      <c r="P41" s="20" t="s">
        <v>21</v>
      </c>
      <c r="Q41" s="14"/>
      <c r="R41" s="1" t="s">
        <v>38</v>
      </c>
      <c r="S41" s="1" t="s">
        <v>107</v>
      </c>
      <c r="T41" s="1"/>
      <c r="U41" s="1"/>
      <c r="X41" s="1"/>
      <c r="Y41" s="1"/>
    </row>
    <row r="42" spans="1:26" ht="12.75" customHeight="1" x14ac:dyDescent="0.2">
      <c r="A42" s="1"/>
      <c r="B42" s="1" t="s">
        <v>109</v>
      </c>
      <c r="C42" s="1"/>
      <c r="D42" s="10" t="str">
        <f>VLOOKUP(F42,Format!G:H,2,FALSE)</f>
        <v>CD player</v>
      </c>
      <c r="E42" s="10" t="str">
        <f>VLOOKUP(H42,Format!G:H,2,FALSE)</f>
        <v>Radio</v>
      </c>
      <c r="F42" s="15" t="s">
        <v>14</v>
      </c>
      <c r="G42" s="11" t="s">
        <v>70</v>
      </c>
      <c r="H42" s="16" t="s">
        <v>12</v>
      </c>
      <c r="I42" s="5" t="s">
        <v>102</v>
      </c>
      <c r="J42" s="21" t="s">
        <v>13</v>
      </c>
      <c r="K42" s="5" t="s">
        <v>71</v>
      </c>
      <c r="L42" s="5" t="s">
        <v>21</v>
      </c>
      <c r="M42" s="5" t="s">
        <v>103</v>
      </c>
      <c r="N42" s="5" t="s">
        <v>21</v>
      </c>
      <c r="O42" s="20" t="s">
        <v>21</v>
      </c>
      <c r="P42" s="20" t="s">
        <v>21</v>
      </c>
      <c r="Q42" s="14"/>
      <c r="R42" s="1" t="s">
        <v>110</v>
      </c>
      <c r="S42" s="1" t="s">
        <v>107</v>
      </c>
      <c r="T42" s="1"/>
      <c r="U42" s="1"/>
      <c r="X42" s="1"/>
      <c r="Y42" s="1"/>
    </row>
    <row r="43" spans="1:26" ht="12.75" customHeight="1" x14ac:dyDescent="0.2">
      <c r="A43" s="1"/>
      <c r="B43" s="1" t="s">
        <v>111</v>
      </c>
      <c r="C43" s="1"/>
      <c r="D43" s="10" t="str">
        <f>VLOOKUP(F43,Format!G:H,2,FALSE)</f>
        <v>CD player</v>
      </c>
      <c r="E43" s="10" t="str">
        <f>VLOOKUP(H43,Format!G:H,2,FALSE)</f>
        <v>Radio</v>
      </c>
      <c r="F43" s="15" t="s">
        <v>14</v>
      </c>
      <c r="G43" s="11" t="s">
        <v>70</v>
      </c>
      <c r="H43" s="16" t="s">
        <v>12</v>
      </c>
      <c r="I43" s="5" t="s">
        <v>102</v>
      </c>
      <c r="J43" s="21" t="s">
        <v>18</v>
      </c>
      <c r="K43" s="5" t="s">
        <v>71</v>
      </c>
      <c r="L43" s="5" t="s">
        <v>21</v>
      </c>
      <c r="M43" s="5" t="s">
        <v>103</v>
      </c>
      <c r="N43" s="5" t="s">
        <v>21</v>
      </c>
      <c r="O43" s="20" t="s">
        <v>21</v>
      </c>
      <c r="P43" s="20" t="s">
        <v>21</v>
      </c>
      <c r="Q43" s="14"/>
      <c r="R43" s="1" t="s">
        <v>112</v>
      </c>
      <c r="S43" s="1" t="s">
        <v>107</v>
      </c>
      <c r="T43" s="1"/>
      <c r="U43" s="1"/>
      <c r="X43" s="1"/>
      <c r="Y43" s="1"/>
    </row>
    <row r="44" spans="1:26" ht="12.75" customHeight="1" x14ac:dyDescent="0.2">
      <c r="A44" s="1"/>
      <c r="B44" s="1"/>
      <c r="C44" s="1"/>
      <c r="D44" s="10" t="str">
        <f>VLOOKUP(F44,Format!G:H,2,FALSE)</f>
        <v>CD player</v>
      </c>
      <c r="E44" s="10" t="str">
        <f>VLOOKUP(H44,Format!G:H,2,FALSE)</f>
        <v>Radio</v>
      </c>
      <c r="F44" s="15" t="s">
        <v>14</v>
      </c>
      <c r="G44" s="11" t="s">
        <v>70</v>
      </c>
      <c r="H44" s="16" t="s">
        <v>12</v>
      </c>
      <c r="I44" s="5" t="s">
        <v>102</v>
      </c>
      <c r="J44" s="21" t="s">
        <v>25</v>
      </c>
      <c r="K44" s="5" t="s">
        <v>71</v>
      </c>
      <c r="L44" s="5" t="s">
        <v>21</v>
      </c>
      <c r="M44" s="5" t="s">
        <v>103</v>
      </c>
      <c r="N44" s="5" t="s">
        <v>21</v>
      </c>
      <c r="O44" s="20" t="s">
        <v>21</v>
      </c>
      <c r="P44" s="20" t="s">
        <v>21</v>
      </c>
      <c r="Q44" s="14"/>
      <c r="R44" s="1" t="s">
        <v>113</v>
      </c>
      <c r="S44" s="1" t="s">
        <v>107</v>
      </c>
      <c r="T44" s="1"/>
      <c r="U44" s="1"/>
      <c r="X44" s="1"/>
      <c r="Y44" s="1"/>
    </row>
    <row r="45" spans="1:26" ht="12.75" customHeight="1" x14ac:dyDescent="0.2">
      <c r="A45" s="1"/>
      <c r="B45" s="1"/>
      <c r="C45" s="1"/>
      <c r="D45" s="10" t="str">
        <f>VLOOKUP(F45,Format!G:H,2,FALSE)</f>
        <v>CD player</v>
      </c>
      <c r="E45" s="10" t="str">
        <f>VLOOKUP(H45,Format!G:H,2,FALSE)</f>
        <v>Radio</v>
      </c>
      <c r="F45" s="15" t="s">
        <v>14</v>
      </c>
      <c r="G45" s="11" t="s">
        <v>70</v>
      </c>
      <c r="H45" s="16" t="s">
        <v>12</v>
      </c>
      <c r="I45" s="5" t="s">
        <v>102</v>
      </c>
      <c r="J45" s="21" t="s">
        <v>46</v>
      </c>
      <c r="K45" s="5" t="s">
        <v>71</v>
      </c>
      <c r="L45" s="5" t="s">
        <v>21</v>
      </c>
      <c r="M45" s="5" t="s">
        <v>103</v>
      </c>
      <c r="N45" s="5" t="s">
        <v>21</v>
      </c>
      <c r="O45" s="20" t="s">
        <v>21</v>
      </c>
      <c r="P45" s="20" t="s">
        <v>21</v>
      </c>
      <c r="Q45" s="14"/>
      <c r="R45" s="1" t="s">
        <v>114</v>
      </c>
      <c r="S45" s="1" t="s">
        <v>107</v>
      </c>
      <c r="T45" s="1"/>
      <c r="U45" s="1"/>
      <c r="X45" s="1"/>
      <c r="Y45" s="1"/>
    </row>
    <row r="46" spans="1:26" ht="12.75" customHeight="1" x14ac:dyDescent="0.2">
      <c r="A46" s="1"/>
      <c r="B46" s="1" t="s">
        <v>115</v>
      </c>
      <c r="C46" s="1"/>
      <c r="D46" s="10" t="str">
        <f>VLOOKUP(F46,Format!G:H,2,FALSE)</f>
        <v>CD player</v>
      </c>
      <c r="E46" s="10" t="str">
        <f>VLOOKUP(H46,Format!G:H,2,FALSE)</f>
        <v>Radio</v>
      </c>
      <c r="F46" s="15" t="s">
        <v>14</v>
      </c>
      <c r="G46" s="11" t="s">
        <v>70</v>
      </c>
      <c r="H46" s="16" t="s">
        <v>12</v>
      </c>
      <c r="I46" s="5" t="s">
        <v>102</v>
      </c>
      <c r="J46" s="21" t="s">
        <v>58</v>
      </c>
      <c r="K46" s="5" t="s">
        <v>71</v>
      </c>
      <c r="L46" s="5" t="s">
        <v>21</v>
      </c>
      <c r="M46" s="5" t="s">
        <v>103</v>
      </c>
      <c r="N46" s="5" t="s">
        <v>21</v>
      </c>
      <c r="O46" s="20" t="s">
        <v>21</v>
      </c>
      <c r="P46" s="20" t="s">
        <v>21</v>
      </c>
      <c r="Q46" s="14"/>
      <c r="R46" s="1" t="s">
        <v>116</v>
      </c>
      <c r="S46" s="1" t="s">
        <v>107</v>
      </c>
      <c r="T46" s="1"/>
      <c r="U46" s="1"/>
      <c r="X46" s="1"/>
      <c r="Y46" s="1"/>
    </row>
    <row r="47" spans="1:26" ht="12.75" customHeight="1" x14ac:dyDescent="0.2">
      <c r="A47" s="1"/>
      <c r="B47" s="1" t="s">
        <v>117</v>
      </c>
      <c r="C47" s="1"/>
      <c r="D47" s="10" t="str">
        <f>VLOOKUP(F47,Format!G:H,2,FALSE)</f>
        <v>CD player</v>
      </c>
      <c r="E47" s="10" t="str">
        <f>VLOOKUP(H47,Format!G:H,2,FALSE)</f>
        <v>Radio</v>
      </c>
      <c r="F47" s="15" t="s">
        <v>14</v>
      </c>
      <c r="G47" s="11" t="s">
        <v>70</v>
      </c>
      <c r="H47" s="16" t="s">
        <v>12</v>
      </c>
      <c r="I47" s="5" t="s">
        <v>102</v>
      </c>
      <c r="J47" s="21" t="s">
        <v>63</v>
      </c>
      <c r="K47" s="5" t="s">
        <v>71</v>
      </c>
      <c r="L47" s="5" t="s">
        <v>21</v>
      </c>
      <c r="M47" s="5" t="s">
        <v>103</v>
      </c>
      <c r="N47" s="5" t="s">
        <v>21</v>
      </c>
      <c r="O47" s="20" t="s">
        <v>21</v>
      </c>
      <c r="P47" s="20" t="s">
        <v>21</v>
      </c>
      <c r="Q47" s="14"/>
      <c r="R47" s="1" t="s">
        <v>118</v>
      </c>
      <c r="S47" s="1" t="s">
        <v>107</v>
      </c>
      <c r="T47" s="1"/>
      <c r="U47" s="20" t="s">
        <v>119</v>
      </c>
      <c r="X47" s="1"/>
      <c r="Y47" s="1"/>
    </row>
    <row r="48" spans="1:26" ht="13.5" customHeight="1" x14ac:dyDescent="0.2">
      <c r="A48" s="1"/>
      <c r="B48" s="1"/>
      <c r="C48" s="1"/>
      <c r="D48" s="1"/>
      <c r="F48" s="1"/>
      <c r="G48" s="1"/>
      <c r="H48" s="1"/>
      <c r="I48" s="1"/>
      <c r="J48" s="1"/>
      <c r="K48" s="1"/>
      <c r="L48" s="1"/>
      <c r="M48" s="1"/>
      <c r="N48" s="1"/>
      <c r="O48" s="1"/>
      <c r="P48" s="1"/>
      <c r="Q48" s="1"/>
      <c r="R48" s="22" t="s">
        <v>120</v>
      </c>
      <c r="S48" s="22" t="s">
        <v>121</v>
      </c>
      <c r="T48" s="22" t="s">
        <v>122</v>
      </c>
      <c r="U48" s="22" t="s">
        <v>123</v>
      </c>
      <c r="X48" s="1"/>
      <c r="Y48" s="1"/>
    </row>
    <row r="49" spans="1:25" ht="12.75" customHeight="1" x14ac:dyDescent="0.2">
      <c r="A49" s="1"/>
      <c r="B49" s="1" t="s">
        <v>124</v>
      </c>
      <c r="C49" s="1"/>
      <c r="D49" s="10" t="str">
        <f>VLOOKUP(F49,Format!G:H,2,FALSE)</f>
        <v>CD player</v>
      </c>
      <c r="E49" s="10" t="str">
        <f>VLOOKUP(H49,Format!G:H,2,FALSE)</f>
        <v>General news 2</v>
      </c>
      <c r="F49" s="15" t="s">
        <v>14</v>
      </c>
      <c r="G49" s="11" t="s">
        <v>18</v>
      </c>
      <c r="H49" s="16" t="s">
        <v>19</v>
      </c>
      <c r="I49" s="5" t="s">
        <v>35</v>
      </c>
      <c r="J49" s="21" t="s">
        <v>21</v>
      </c>
      <c r="K49" s="14" t="s">
        <v>96</v>
      </c>
      <c r="L49" s="1"/>
      <c r="M49" s="1"/>
      <c r="N49" s="1"/>
      <c r="O49" s="20"/>
      <c r="P49" s="20"/>
      <c r="Q49" s="20"/>
      <c r="R49" s="1"/>
      <c r="T49" s="1"/>
      <c r="U49" s="1"/>
      <c r="X49" s="1"/>
      <c r="Y49" s="1"/>
    </row>
    <row r="50" spans="1:25" ht="12.75" customHeight="1" x14ac:dyDescent="0.2">
      <c r="A50" s="1"/>
      <c r="B50" s="1"/>
      <c r="C50" s="1"/>
      <c r="D50" s="10" t="str">
        <f>VLOOKUP(F50,Format!G:H,2,FALSE)</f>
        <v>CD player</v>
      </c>
      <c r="E50" s="10" t="str">
        <f>VLOOKUP(H50,Format!G:H,2,FALSE)</f>
        <v>Radio</v>
      </c>
      <c r="F50" s="15" t="s">
        <v>14</v>
      </c>
      <c r="G50" s="11" t="s">
        <v>70</v>
      </c>
      <c r="H50" s="16" t="s">
        <v>12</v>
      </c>
      <c r="I50" s="5" t="s">
        <v>102</v>
      </c>
      <c r="J50" s="21" t="s">
        <v>71</v>
      </c>
      <c r="K50" s="5" t="s">
        <v>35</v>
      </c>
      <c r="L50" s="5" t="s">
        <v>21</v>
      </c>
      <c r="M50" s="5" t="s">
        <v>21</v>
      </c>
      <c r="N50" s="5" t="s">
        <v>21</v>
      </c>
      <c r="O50" s="20" t="s">
        <v>15</v>
      </c>
      <c r="P50" s="20" t="s">
        <v>21</v>
      </c>
      <c r="Q50" s="14">
        <v>49</v>
      </c>
      <c r="R50" s="10" t="str">
        <f t="shared" ref="R50:R51" si="0">VLOOKUP(J50,$R$68:$S$91,2,FALSE)</f>
        <v>CD_Check</v>
      </c>
      <c r="S50" s="10" t="str">
        <f t="shared" ref="S50:S51" si="1">VLOOKUP(K50,$U$68:$V$91,2,FALSE)</f>
        <v>Pause</v>
      </c>
      <c r="T50" s="10">
        <f t="shared" ref="T50:T59" si="2">VLOOKUP(L50,$X$68:$Y$91,2,FALSE)</f>
        <v>0</v>
      </c>
      <c r="U50" s="10">
        <f t="shared" ref="U50:U59" si="3">VLOOKUP(M50,$Z$68:$AB$93,2,FALSE)</f>
        <v>0</v>
      </c>
      <c r="X50" s="1"/>
      <c r="Y50" s="1"/>
    </row>
    <row r="51" spans="1:25" ht="12.75" customHeight="1" x14ac:dyDescent="0.2">
      <c r="A51" s="1"/>
      <c r="B51" s="1"/>
      <c r="C51" s="1"/>
      <c r="D51" s="10" t="str">
        <f>VLOOKUP(F51,Format!G:H,2,FALSE)</f>
        <v>CD player</v>
      </c>
      <c r="E51" s="10" t="str">
        <f>VLOOKUP(H51,Format!G:H,2,FALSE)</f>
        <v>Radio</v>
      </c>
      <c r="F51" s="15" t="s">
        <v>14</v>
      </c>
      <c r="G51" s="11" t="s">
        <v>70</v>
      </c>
      <c r="H51" s="16">
        <v>68</v>
      </c>
      <c r="I51" s="5" t="s">
        <v>102</v>
      </c>
      <c r="J51" s="21" t="s">
        <v>70</v>
      </c>
      <c r="K51" s="5" t="s">
        <v>35</v>
      </c>
      <c r="L51" s="5" t="s">
        <v>21</v>
      </c>
      <c r="M51" s="5" t="s">
        <v>21</v>
      </c>
      <c r="N51" s="5" t="s">
        <v>21</v>
      </c>
      <c r="O51" s="20" t="s">
        <v>21</v>
      </c>
      <c r="P51" s="20" t="s">
        <v>21</v>
      </c>
      <c r="Q51" s="14" t="s">
        <v>59</v>
      </c>
      <c r="R51" s="10" t="str">
        <f t="shared" si="0"/>
        <v>No Magazine</v>
      </c>
      <c r="S51" s="10" t="str">
        <f t="shared" si="1"/>
        <v>Pause</v>
      </c>
      <c r="T51" s="10">
        <f t="shared" si="2"/>
        <v>0</v>
      </c>
      <c r="U51" s="10">
        <f t="shared" si="3"/>
        <v>0</v>
      </c>
      <c r="X51" s="1"/>
      <c r="Y51" s="1"/>
    </row>
    <row r="52" spans="1:25" ht="12.75" customHeight="1" x14ac:dyDescent="0.2">
      <c r="A52" s="1"/>
      <c r="B52" s="1"/>
      <c r="C52" s="1"/>
      <c r="D52" s="10" t="str">
        <f>VLOOKUP(F52,Format!G:H,2,FALSE)</f>
        <v>CD player</v>
      </c>
      <c r="E52" s="10" t="str">
        <f>VLOOKUP(H52,Format!G:H,2,FALSE)</f>
        <v>General news 2</v>
      </c>
      <c r="F52" s="15" t="s">
        <v>14</v>
      </c>
      <c r="G52" s="11" t="s">
        <v>18</v>
      </c>
      <c r="H52" s="16" t="s">
        <v>19</v>
      </c>
      <c r="I52" s="5" t="s">
        <v>35</v>
      </c>
      <c r="J52" s="21" t="s">
        <v>15</v>
      </c>
      <c r="K52" s="14" t="s">
        <v>93</v>
      </c>
      <c r="L52" s="1"/>
      <c r="M52" s="1"/>
      <c r="N52" s="1"/>
      <c r="O52" s="20"/>
      <c r="P52" s="20"/>
      <c r="Q52" s="20"/>
      <c r="R52" s="1" t="s">
        <v>94</v>
      </c>
      <c r="T52" s="1" t="e">
        <f t="shared" si="2"/>
        <v>#N/A</v>
      </c>
      <c r="U52" s="1" t="e">
        <f t="shared" si="3"/>
        <v>#N/A</v>
      </c>
      <c r="X52" s="1"/>
      <c r="Y52" s="1"/>
    </row>
    <row r="53" spans="1:25" ht="12.75" customHeight="1" x14ac:dyDescent="0.2">
      <c r="A53" s="1"/>
      <c r="B53" s="1"/>
      <c r="C53" s="1"/>
      <c r="D53" s="10" t="str">
        <f>VLOOKUP(F53,Format!G:H,2,FALSE)</f>
        <v>CD player</v>
      </c>
      <c r="E53" s="10" t="str">
        <f>VLOOKUP(H53,Format!G:H,2,FALSE)</f>
        <v>Radio</v>
      </c>
      <c r="F53" s="15" t="s">
        <v>14</v>
      </c>
      <c r="G53" s="11" t="s">
        <v>70</v>
      </c>
      <c r="H53" s="16">
        <v>68</v>
      </c>
      <c r="I53" s="5" t="s">
        <v>102</v>
      </c>
      <c r="J53" s="21" t="s">
        <v>71</v>
      </c>
      <c r="K53" s="5" t="s">
        <v>35</v>
      </c>
      <c r="L53" s="5" t="s">
        <v>21</v>
      </c>
      <c r="M53" s="5" t="s">
        <v>21</v>
      </c>
      <c r="N53" s="5" t="s">
        <v>21</v>
      </c>
      <c r="O53" s="20" t="s">
        <v>15</v>
      </c>
      <c r="P53" s="20" t="s">
        <v>21</v>
      </c>
      <c r="Q53" s="14" t="s">
        <v>41</v>
      </c>
      <c r="R53" s="10" t="str">
        <f t="shared" ref="R53:R59" si="4">VLOOKUP(J53,$R$68:$S$91,2,FALSE)</f>
        <v>CD_Check</v>
      </c>
      <c r="S53" s="10" t="str">
        <f t="shared" ref="S53:S59" si="5">VLOOKUP(K53,$U$68:$V$91,2,FALSE)</f>
        <v>Pause</v>
      </c>
      <c r="T53" s="10">
        <f t="shared" si="2"/>
        <v>0</v>
      </c>
      <c r="U53" s="10">
        <f t="shared" si="3"/>
        <v>0</v>
      </c>
      <c r="X53" s="1"/>
      <c r="Y53" s="1"/>
    </row>
    <row r="54" spans="1:25" ht="12.75" customHeight="1" x14ac:dyDescent="0.2">
      <c r="A54" s="1"/>
      <c r="B54" s="1"/>
      <c r="C54" s="1"/>
      <c r="D54" s="10" t="str">
        <f>VLOOKUP(F54,Format!G:H,2,FALSE)</f>
        <v>CD player</v>
      </c>
      <c r="E54" s="10" t="str">
        <f>VLOOKUP(H54,Format!G:H,2,FALSE)</f>
        <v>Radio</v>
      </c>
      <c r="F54" s="15" t="s">
        <v>14</v>
      </c>
      <c r="G54" s="11" t="s">
        <v>70</v>
      </c>
      <c r="H54" s="16">
        <v>68</v>
      </c>
      <c r="I54" s="5" t="s">
        <v>102</v>
      </c>
      <c r="J54" s="21" t="s">
        <v>21</v>
      </c>
      <c r="K54" s="5" t="s">
        <v>35</v>
      </c>
      <c r="L54" s="5" t="s">
        <v>21</v>
      </c>
      <c r="M54" s="5" t="s">
        <v>103</v>
      </c>
      <c r="N54" s="5" t="s">
        <v>21</v>
      </c>
      <c r="O54" s="20" t="s">
        <v>18</v>
      </c>
      <c r="P54" s="20" t="s">
        <v>15</v>
      </c>
      <c r="Q54" s="14" t="s">
        <v>125</v>
      </c>
      <c r="R54" s="10" t="str">
        <f t="shared" si="4"/>
        <v>Stop</v>
      </c>
      <c r="S54" s="10" t="str">
        <f t="shared" si="5"/>
        <v>Pause</v>
      </c>
      <c r="T54" s="10">
        <f t="shared" si="2"/>
        <v>0</v>
      </c>
      <c r="U54" s="10" t="str">
        <f t="shared" si="3"/>
        <v>1,2,3,4,5,6</v>
      </c>
      <c r="X54" s="1"/>
      <c r="Y54" s="1"/>
    </row>
    <row r="55" spans="1:25" ht="12.75" customHeight="1" x14ac:dyDescent="0.2">
      <c r="A55" s="1"/>
      <c r="B55" s="1" t="s">
        <v>126</v>
      </c>
      <c r="C55" s="1"/>
      <c r="D55" s="1"/>
      <c r="F55" s="15" t="s">
        <v>14</v>
      </c>
      <c r="G55" s="11" t="s">
        <v>70</v>
      </c>
      <c r="H55" s="16" t="s">
        <v>12</v>
      </c>
      <c r="I55" s="5" t="s">
        <v>102</v>
      </c>
      <c r="J55" s="23" t="s">
        <v>71</v>
      </c>
      <c r="K55" s="23" t="s">
        <v>35</v>
      </c>
      <c r="L55" s="5" t="s">
        <v>21</v>
      </c>
      <c r="M55" s="5" t="s">
        <v>21</v>
      </c>
      <c r="N55" s="23" t="s">
        <v>21</v>
      </c>
      <c r="O55" s="20" t="s">
        <v>21</v>
      </c>
      <c r="P55" s="5" t="s">
        <v>21</v>
      </c>
      <c r="Q55" s="14" t="s">
        <v>41</v>
      </c>
      <c r="R55" s="10" t="str">
        <f t="shared" si="4"/>
        <v>CD_Check</v>
      </c>
      <c r="S55" s="10" t="str">
        <f t="shared" si="5"/>
        <v>Pause</v>
      </c>
      <c r="T55" s="10">
        <f t="shared" si="2"/>
        <v>0</v>
      </c>
      <c r="U55" s="10">
        <f t="shared" si="3"/>
        <v>0</v>
      </c>
      <c r="X55" s="1"/>
      <c r="Y55" s="1"/>
    </row>
    <row r="56" spans="1:25" ht="12.75" customHeight="1" x14ac:dyDescent="0.2">
      <c r="A56" s="1"/>
      <c r="B56" s="1" t="s">
        <v>127</v>
      </c>
      <c r="C56" s="1"/>
      <c r="D56" s="1"/>
      <c r="F56" s="15" t="s">
        <v>14</v>
      </c>
      <c r="G56" s="11" t="s">
        <v>70</v>
      </c>
      <c r="H56" s="16" t="s">
        <v>12</v>
      </c>
      <c r="I56" s="5" t="s">
        <v>102</v>
      </c>
      <c r="J56" s="23" t="s">
        <v>71</v>
      </c>
      <c r="K56" s="23" t="s">
        <v>35</v>
      </c>
      <c r="L56" s="5" t="s">
        <v>63</v>
      </c>
      <c r="M56" s="5" t="s">
        <v>21</v>
      </c>
      <c r="N56" s="23" t="s">
        <v>21</v>
      </c>
      <c r="O56" s="20" t="s">
        <v>25</v>
      </c>
      <c r="P56" s="5" t="s">
        <v>21</v>
      </c>
      <c r="Q56" s="14" t="s">
        <v>128</v>
      </c>
      <c r="R56" s="10" t="str">
        <f t="shared" si="4"/>
        <v>CD_Check</v>
      </c>
      <c r="S56" s="10" t="str">
        <f t="shared" si="5"/>
        <v>Pause</v>
      </c>
      <c r="T56" s="10" t="str">
        <f t="shared" si="2"/>
        <v>disc error, No disk</v>
      </c>
      <c r="U56" s="10">
        <f t="shared" si="3"/>
        <v>0</v>
      </c>
      <c r="X56" s="1"/>
      <c r="Y56" s="1"/>
    </row>
    <row r="57" spans="1:25" ht="12.75" customHeight="1" x14ac:dyDescent="0.2">
      <c r="A57" s="1"/>
      <c r="B57" s="1" t="s">
        <v>129</v>
      </c>
      <c r="C57" s="1"/>
      <c r="D57" s="1"/>
      <c r="F57" s="15" t="s">
        <v>14</v>
      </c>
      <c r="G57" s="11" t="s">
        <v>70</v>
      </c>
      <c r="H57" s="16" t="s">
        <v>12</v>
      </c>
      <c r="I57" s="5" t="s">
        <v>102</v>
      </c>
      <c r="J57" s="23" t="s">
        <v>63</v>
      </c>
      <c r="K57" s="23" t="s">
        <v>35</v>
      </c>
      <c r="L57" s="5" t="s">
        <v>21</v>
      </c>
      <c r="M57" s="5" t="s">
        <v>130</v>
      </c>
      <c r="N57" s="23" t="s">
        <v>21</v>
      </c>
      <c r="O57" s="20" t="s">
        <v>25</v>
      </c>
      <c r="P57" s="5" t="s">
        <v>21</v>
      </c>
      <c r="Q57" s="14"/>
      <c r="R57" s="10" t="str">
        <f t="shared" si="4"/>
        <v>Loading</v>
      </c>
      <c r="S57" s="10" t="str">
        <f t="shared" si="5"/>
        <v>Pause</v>
      </c>
      <c r="T57" s="10">
        <f t="shared" si="2"/>
        <v>0</v>
      </c>
      <c r="U57" s="10" t="str">
        <f t="shared" si="3"/>
        <v>6,5</v>
      </c>
      <c r="X57" s="1"/>
      <c r="Y57" s="1"/>
    </row>
    <row r="58" spans="1:25" ht="12.75" customHeight="1" x14ac:dyDescent="0.2">
      <c r="A58" s="1"/>
      <c r="B58" s="1" t="s">
        <v>116</v>
      </c>
      <c r="C58" s="1"/>
      <c r="D58" s="1"/>
      <c r="F58" s="15" t="s">
        <v>14</v>
      </c>
      <c r="G58" s="11" t="s">
        <v>70</v>
      </c>
      <c r="H58" s="16" t="s">
        <v>12</v>
      </c>
      <c r="I58" s="5" t="s">
        <v>102</v>
      </c>
      <c r="J58" s="23" t="s">
        <v>58</v>
      </c>
      <c r="K58" s="23" t="s">
        <v>35</v>
      </c>
      <c r="L58" s="5" t="s">
        <v>21</v>
      </c>
      <c r="M58" s="5" t="s">
        <v>130</v>
      </c>
      <c r="N58" s="23" t="s">
        <v>21</v>
      </c>
      <c r="O58" s="20" t="s">
        <v>21</v>
      </c>
      <c r="P58" s="20" t="s">
        <v>15</v>
      </c>
      <c r="Q58" s="14" t="s">
        <v>131</v>
      </c>
      <c r="R58" s="10" t="str">
        <f t="shared" si="4"/>
        <v>End</v>
      </c>
      <c r="S58" s="10" t="str">
        <f t="shared" si="5"/>
        <v>Pause</v>
      </c>
      <c r="T58" s="10">
        <f t="shared" si="2"/>
        <v>0</v>
      </c>
      <c r="U58" s="10" t="str">
        <f t="shared" si="3"/>
        <v>6,5</v>
      </c>
      <c r="X58" s="1"/>
      <c r="Y58" s="1"/>
    </row>
    <row r="59" spans="1:25" ht="12.75" customHeight="1" x14ac:dyDescent="0.2">
      <c r="A59" s="1"/>
      <c r="B59" s="1" t="s">
        <v>31</v>
      </c>
      <c r="C59" s="1"/>
      <c r="D59" s="1"/>
      <c r="F59" s="15" t="s">
        <v>14</v>
      </c>
      <c r="G59" s="11" t="s">
        <v>70</v>
      </c>
      <c r="H59" s="16" t="s">
        <v>12</v>
      </c>
      <c r="I59" s="5" t="s">
        <v>102</v>
      </c>
      <c r="J59" s="23" t="s">
        <v>21</v>
      </c>
      <c r="K59" s="23" t="s">
        <v>35</v>
      </c>
      <c r="L59" s="5" t="s">
        <v>21</v>
      </c>
      <c r="M59" s="5" t="s">
        <v>130</v>
      </c>
      <c r="N59" s="23" t="s">
        <v>21</v>
      </c>
      <c r="O59" s="20" t="s">
        <v>25</v>
      </c>
      <c r="P59" s="20" t="s">
        <v>15</v>
      </c>
      <c r="Q59" s="14" t="s">
        <v>132</v>
      </c>
      <c r="R59" s="10" t="str">
        <f t="shared" si="4"/>
        <v>Stop</v>
      </c>
      <c r="S59" s="10" t="str">
        <f t="shared" si="5"/>
        <v>Pause</v>
      </c>
      <c r="T59" s="10">
        <f t="shared" si="2"/>
        <v>0</v>
      </c>
      <c r="U59" s="10" t="str">
        <f t="shared" si="3"/>
        <v>6,5</v>
      </c>
      <c r="X59" s="1"/>
      <c r="Y59" s="1"/>
    </row>
    <row r="60" spans="1:25" ht="12.75" customHeight="1" x14ac:dyDescent="0.2">
      <c r="A60" s="1"/>
      <c r="B60" s="1"/>
      <c r="C60" s="1"/>
      <c r="D60" s="1"/>
      <c r="F60" s="15"/>
      <c r="G60" s="11"/>
      <c r="H60" s="16"/>
      <c r="I60" s="1"/>
      <c r="J60" s="21"/>
      <c r="K60" s="1"/>
      <c r="L60" s="1"/>
      <c r="M60" s="1"/>
      <c r="N60" s="1"/>
      <c r="O60" s="20"/>
      <c r="P60" s="20"/>
      <c r="Q60" s="14"/>
      <c r="R60" s="1"/>
      <c r="T60" s="1"/>
      <c r="U60" s="1"/>
      <c r="X60" s="1"/>
      <c r="Y60" s="1"/>
    </row>
    <row r="61" spans="1:25" ht="12.75" customHeight="1" x14ac:dyDescent="0.2">
      <c r="A61" s="1"/>
      <c r="B61" s="1"/>
      <c r="C61" s="1"/>
      <c r="D61" s="1"/>
      <c r="F61" s="15" t="s">
        <v>14</v>
      </c>
      <c r="G61" s="11" t="s">
        <v>70</v>
      </c>
      <c r="H61" s="16" t="s">
        <v>12</v>
      </c>
      <c r="I61" s="5" t="s">
        <v>102</v>
      </c>
      <c r="J61" s="23" t="s">
        <v>21</v>
      </c>
      <c r="K61" s="23" t="s">
        <v>71</v>
      </c>
      <c r="L61" s="5" t="s">
        <v>21</v>
      </c>
      <c r="M61" s="5" t="s">
        <v>130</v>
      </c>
      <c r="N61" s="23" t="s">
        <v>21</v>
      </c>
      <c r="O61" s="20" t="s">
        <v>25</v>
      </c>
      <c r="P61" s="20" t="s">
        <v>15</v>
      </c>
      <c r="Q61" s="14" t="s">
        <v>132</v>
      </c>
      <c r="R61" s="10" t="str">
        <f>VLOOKUP(J61,$R$68:$S$91,2,FALSE)</f>
        <v>Stop</v>
      </c>
      <c r="S61" s="10" t="str">
        <f>VLOOKUP(K61,$U$68:$V$91,2,FALSE)</f>
        <v>Play</v>
      </c>
      <c r="T61" s="10">
        <f>VLOOKUP(L61,$X$68:$Y$91,2,FALSE)</f>
        <v>0</v>
      </c>
      <c r="U61" s="10" t="str">
        <f>VLOOKUP(M61,$Z$68:$AB$93,2,FALSE)</f>
        <v>6,5</v>
      </c>
      <c r="X61" s="1"/>
      <c r="Y61" s="1"/>
    </row>
    <row r="62" spans="1:25" ht="12.75" customHeight="1" x14ac:dyDescent="0.2">
      <c r="A62" s="1"/>
      <c r="B62" s="1"/>
      <c r="C62" s="1"/>
      <c r="D62" s="1"/>
      <c r="F62" s="15"/>
      <c r="G62" s="11"/>
      <c r="H62" s="16"/>
      <c r="I62" s="1"/>
      <c r="J62" s="21"/>
      <c r="K62" s="1"/>
      <c r="L62" s="1"/>
      <c r="M62" s="1"/>
      <c r="N62" s="1"/>
      <c r="O62" s="20"/>
      <c r="P62" s="20"/>
      <c r="Q62" s="14"/>
      <c r="R62" s="1"/>
      <c r="T62" s="1"/>
      <c r="U62" s="1"/>
      <c r="X62" s="1"/>
      <c r="Y62" s="1"/>
    </row>
    <row r="63" spans="1:25" ht="12.75" customHeight="1" x14ac:dyDescent="0.2">
      <c r="A63" s="1"/>
      <c r="B63" s="1"/>
      <c r="C63" s="1"/>
      <c r="D63" s="1"/>
      <c r="F63" s="15"/>
      <c r="G63" s="11"/>
      <c r="H63" s="16"/>
      <c r="I63" s="1"/>
      <c r="J63" s="21"/>
      <c r="K63" s="1"/>
      <c r="L63" s="1"/>
      <c r="M63" s="1"/>
      <c r="N63" s="1"/>
      <c r="O63" s="20"/>
      <c r="P63" s="20"/>
      <c r="Q63" s="14"/>
      <c r="R63" s="1"/>
      <c r="T63" s="1"/>
      <c r="U63" s="1"/>
      <c r="X63" s="1"/>
      <c r="Y63" s="1"/>
    </row>
    <row r="64" spans="1:25" ht="12.75" customHeight="1" x14ac:dyDescent="0.2">
      <c r="A64" s="1"/>
      <c r="B64" s="1"/>
      <c r="C64" s="1"/>
      <c r="D64" s="1"/>
      <c r="F64" s="15"/>
      <c r="G64" s="11"/>
      <c r="H64" s="16"/>
      <c r="I64" s="1"/>
      <c r="J64" s="21"/>
      <c r="K64" s="1"/>
      <c r="L64" s="1"/>
      <c r="M64" s="1"/>
      <c r="N64" s="1"/>
      <c r="O64" s="20"/>
      <c r="P64" s="20"/>
      <c r="Q64" s="14"/>
      <c r="R64" s="1"/>
      <c r="T64" s="1"/>
      <c r="U64" s="1"/>
      <c r="X64" s="1"/>
      <c r="Y64" s="1"/>
    </row>
    <row r="65" spans="1:28" ht="12.75" customHeight="1" x14ac:dyDescent="0.2">
      <c r="A65" s="1"/>
      <c r="B65" s="1"/>
      <c r="C65" s="1"/>
      <c r="D65" s="1"/>
      <c r="F65" s="15"/>
      <c r="G65" s="11"/>
      <c r="H65" s="16"/>
      <c r="I65" s="1"/>
      <c r="J65" s="21"/>
      <c r="K65" s="1"/>
      <c r="L65" s="1"/>
      <c r="M65" s="1"/>
      <c r="N65" s="1"/>
      <c r="O65" s="20"/>
      <c r="P65" s="20"/>
      <c r="Q65" s="14"/>
      <c r="R65" s="1"/>
      <c r="T65" s="1"/>
      <c r="U65" s="1"/>
      <c r="X65" s="1"/>
      <c r="Y65" s="1"/>
    </row>
    <row r="66" spans="1:28" ht="13.5" customHeight="1" x14ac:dyDescent="0.2">
      <c r="A66" s="1"/>
      <c r="B66" s="1"/>
      <c r="C66" s="1"/>
      <c r="D66" s="1"/>
      <c r="F66" s="1"/>
      <c r="G66" s="1"/>
      <c r="H66" s="1"/>
      <c r="I66" s="1"/>
      <c r="J66" s="1"/>
      <c r="K66" s="1"/>
      <c r="L66" s="1"/>
      <c r="M66" s="1"/>
      <c r="N66" s="1"/>
      <c r="O66" s="1"/>
      <c r="P66" s="1"/>
      <c r="Q66" s="1"/>
      <c r="R66" s="1"/>
      <c r="S66" s="1" t="s">
        <v>133</v>
      </c>
      <c r="T66" s="1"/>
      <c r="U66" s="1"/>
      <c r="V66" s="1" t="s">
        <v>134</v>
      </c>
      <c r="X66" s="1"/>
      <c r="Y66" s="1"/>
    </row>
    <row r="67" spans="1:28" ht="13.5" customHeight="1" x14ac:dyDescent="0.2">
      <c r="A67" s="1"/>
      <c r="B67" s="1"/>
      <c r="C67" s="1"/>
      <c r="D67" s="1"/>
      <c r="F67" s="1"/>
      <c r="G67" s="1"/>
      <c r="H67" s="1"/>
      <c r="I67" s="1"/>
      <c r="J67" s="1"/>
      <c r="K67" s="1"/>
      <c r="L67" s="1"/>
      <c r="M67" s="1"/>
      <c r="N67" s="1"/>
      <c r="O67" s="1"/>
      <c r="P67" s="5"/>
      <c r="Q67" s="1"/>
      <c r="R67" s="24" t="s">
        <v>4</v>
      </c>
      <c r="S67" s="25" t="s">
        <v>120</v>
      </c>
      <c r="T67" s="26"/>
      <c r="U67" s="27" t="s">
        <v>5</v>
      </c>
      <c r="V67" s="28" t="s">
        <v>135</v>
      </c>
      <c r="W67" s="26"/>
      <c r="X67" s="29" t="s">
        <v>6</v>
      </c>
      <c r="Y67" s="30"/>
      <c r="Z67" s="27" t="s">
        <v>7</v>
      </c>
      <c r="AA67" s="28" t="s">
        <v>136</v>
      </c>
      <c r="AB67" s="26" t="s">
        <v>137</v>
      </c>
    </row>
    <row r="68" spans="1:28" ht="12.75" customHeight="1" x14ac:dyDescent="0.2">
      <c r="A68" s="1"/>
      <c r="B68" s="1"/>
      <c r="C68" s="1"/>
      <c r="D68" s="1"/>
      <c r="F68" s="1"/>
      <c r="G68" s="1"/>
      <c r="H68" s="1"/>
      <c r="I68" s="1"/>
      <c r="J68" s="1"/>
      <c r="K68" s="1"/>
      <c r="L68" s="1"/>
      <c r="M68" s="1"/>
      <c r="N68" s="1"/>
      <c r="O68" s="1"/>
      <c r="P68" s="5"/>
      <c r="Q68" s="1"/>
      <c r="R68" s="31" t="s">
        <v>21</v>
      </c>
      <c r="S68" s="12" t="s">
        <v>31</v>
      </c>
      <c r="T68" s="32"/>
      <c r="U68" s="31" t="s">
        <v>21</v>
      </c>
      <c r="V68" s="12" t="s">
        <v>138</v>
      </c>
      <c r="W68" s="33" t="str">
        <f t="shared" ref="W68:W91" si="6">HEX2BIN(U68)</f>
        <v>0</v>
      </c>
      <c r="X68" s="34" t="s">
        <v>21</v>
      </c>
      <c r="Y68" s="35"/>
      <c r="Z68" s="36" t="s">
        <v>21</v>
      </c>
      <c r="AA68" s="12">
        <v>0</v>
      </c>
      <c r="AB68" s="32">
        <v>0</v>
      </c>
    </row>
    <row r="69" spans="1:28" ht="12.75" customHeight="1" x14ac:dyDescent="0.2">
      <c r="A69" s="1"/>
      <c r="B69" s="1"/>
      <c r="C69" s="1"/>
      <c r="D69" s="1"/>
      <c r="F69" s="1"/>
      <c r="G69" s="1"/>
      <c r="H69" s="1"/>
      <c r="I69" s="1"/>
      <c r="J69" s="1"/>
      <c r="K69" s="1"/>
      <c r="L69" s="1"/>
      <c r="M69" s="1"/>
      <c r="N69" s="1"/>
      <c r="O69" s="1"/>
      <c r="P69" s="5"/>
      <c r="Q69" s="1"/>
      <c r="R69" s="31" t="s">
        <v>15</v>
      </c>
      <c r="S69" s="12" t="s">
        <v>34</v>
      </c>
      <c r="T69" s="32"/>
      <c r="U69" s="31" t="s">
        <v>15</v>
      </c>
      <c r="V69" s="12" t="s">
        <v>138</v>
      </c>
      <c r="W69" s="33" t="str">
        <f t="shared" si="6"/>
        <v>1</v>
      </c>
      <c r="X69" s="34" t="s">
        <v>15</v>
      </c>
      <c r="Y69" s="35"/>
      <c r="Z69" s="36" t="s">
        <v>15</v>
      </c>
      <c r="AA69" s="12" t="s">
        <v>79</v>
      </c>
      <c r="AB69" s="32">
        <v>1</v>
      </c>
    </row>
    <row r="70" spans="1:28" ht="12.75" customHeight="1" x14ac:dyDescent="0.2">
      <c r="A70" s="1"/>
      <c r="B70" s="1"/>
      <c r="C70" s="1"/>
      <c r="D70" s="1"/>
      <c r="F70" s="1"/>
      <c r="G70" s="1"/>
      <c r="H70" s="1"/>
      <c r="I70" s="1"/>
      <c r="J70" s="1"/>
      <c r="K70" s="1"/>
      <c r="L70" s="1"/>
      <c r="M70" s="1"/>
      <c r="N70" s="1"/>
      <c r="O70" s="1"/>
      <c r="P70" s="5"/>
      <c r="Q70" s="1"/>
      <c r="R70" s="31" t="s">
        <v>35</v>
      </c>
      <c r="S70" s="12" t="s">
        <v>38</v>
      </c>
      <c r="T70" s="32"/>
      <c r="U70" s="37" t="s">
        <v>35</v>
      </c>
      <c r="V70" s="12" t="s">
        <v>34</v>
      </c>
      <c r="W70" s="33" t="str">
        <f t="shared" si="6"/>
        <v>10</v>
      </c>
      <c r="X70" s="34" t="s">
        <v>35</v>
      </c>
      <c r="Y70" s="35"/>
      <c r="Z70" s="36" t="s">
        <v>13</v>
      </c>
      <c r="AA70" s="12" t="s">
        <v>139</v>
      </c>
      <c r="AB70" s="32">
        <v>11</v>
      </c>
    </row>
    <row r="71" spans="1:28" ht="12.75" customHeight="1" x14ac:dyDescent="0.2">
      <c r="A71" s="1"/>
      <c r="B71" s="1"/>
      <c r="C71" s="1"/>
      <c r="D71" s="1"/>
      <c r="F71" s="1"/>
      <c r="G71" s="1"/>
      <c r="H71" s="1"/>
      <c r="I71" s="1"/>
      <c r="J71" s="1"/>
      <c r="K71" s="1"/>
      <c r="L71" s="1"/>
      <c r="M71" s="1"/>
      <c r="N71" s="1"/>
      <c r="O71" s="1"/>
      <c r="P71" s="5"/>
      <c r="Q71" s="1"/>
      <c r="R71" s="31" t="s">
        <v>13</v>
      </c>
      <c r="S71" s="12" t="s">
        <v>110</v>
      </c>
      <c r="T71" s="32"/>
      <c r="U71" s="31" t="s">
        <v>13</v>
      </c>
      <c r="V71" s="12" t="s">
        <v>138</v>
      </c>
      <c r="W71" s="33" t="str">
        <f t="shared" si="6"/>
        <v>11</v>
      </c>
      <c r="X71" s="34" t="s">
        <v>13</v>
      </c>
      <c r="Y71" s="35"/>
      <c r="Z71" s="36" t="s">
        <v>25</v>
      </c>
      <c r="AA71" s="12"/>
      <c r="AB71" s="32" t="str">
        <f>HEX2BIN(Z71)</f>
        <v>101</v>
      </c>
    </row>
    <row r="72" spans="1:28" ht="12.75" customHeight="1" x14ac:dyDescent="0.2">
      <c r="A72" s="1"/>
      <c r="B72" s="1"/>
      <c r="C72" s="1"/>
      <c r="D72" s="1"/>
      <c r="F72" s="1"/>
      <c r="G72" s="1"/>
      <c r="H72" s="1"/>
      <c r="I72" s="1"/>
      <c r="J72" s="1"/>
      <c r="K72" s="1"/>
      <c r="L72" s="1"/>
      <c r="M72" s="1"/>
      <c r="N72" s="1"/>
      <c r="O72" s="1"/>
      <c r="P72" s="5"/>
      <c r="Q72" s="1"/>
      <c r="R72" s="31" t="s">
        <v>18</v>
      </c>
      <c r="S72" s="12" t="s">
        <v>112</v>
      </c>
      <c r="T72" s="32"/>
      <c r="U72" s="31" t="s">
        <v>18</v>
      </c>
      <c r="V72" s="12" t="s">
        <v>138</v>
      </c>
      <c r="W72" s="33" t="str">
        <f t="shared" si="6"/>
        <v>100</v>
      </c>
      <c r="X72" s="34" t="s">
        <v>18</v>
      </c>
      <c r="Y72" s="35"/>
      <c r="Z72" s="36" t="s">
        <v>58</v>
      </c>
      <c r="AA72" s="12" t="s">
        <v>140</v>
      </c>
      <c r="AB72" s="32">
        <v>111</v>
      </c>
    </row>
    <row r="73" spans="1:28" ht="12.75" customHeight="1" x14ac:dyDescent="0.2">
      <c r="A73" s="1"/>
      <c r="B73" s="1"/>
      <c r="C73" s="1"/>
      <c r="D73" s="1"/>
      <c r="F73" s="1"/>
      <c r="G73" s="1"/>
      <c r="H73" s="1"/>
      <c r="I73" s="1"/>
      <c r="J73" s="1"/>
      <c r="K73" s="1"/>
      <c r="L73" s="1"/>
      <c r="M73" s="1"/>
      <c r="N73" s="1"/>
      <c r="O73" s="1"/>
      <c r="P73" s="5"/>
      <c r="Q73" s="1"/>
      <c r="R73" s="31" t="s">
        <v>25</v>
      </c>
      <c r="S73" s="38" t="s">
        <v>113</v>
      </c>
      <c r="T73" s="32"/>
      <c r="U73" s="31" t="s">
        <v>25</v>
      </c>
      <c r="V73" s="12" t="s">
        <v>138</v>
      </c>
      <c r="W73" s="33" t="str">
        <f t="shared" si="6"/>
        <v>101</v>
      </c>
      <c r="X73" s="34" t="s">
        <v>25</v>
      </c>
      <c r="Y73" s="35"/>
      <c r="Z73" s="36" t="str">
        <f t="shared" ref="Z73:Z76" si="7">BIN2HEX(AB73)</f>
        <v>F</v>
      </c>
      <c r="AA73" s="12" t="s">
        <v>141</v>
      </c>
      <c r="AB73" s="32">
        <v>1111</v>
      </c>
    </row>
    <row r="74" spans="1:28" ht="12.75" customHeight="1" x14ac:dyDescent="0.2">
      <c r="A74" s="1"/>
      <c r="B74" s="1"/>
      <c r="C74" s="1"/>
      <c r="D74" s="1"/>
      <c r="F74" s="1"/>
      <c r="G74" s="1"/>
      <c r="H74" s="1"/>
      <c r="I74" s="1"/>
      <c r="J74" s="1"/>
      <c r="K74" s="1"/>
      <c r="L74" s="1"/>
      <c r="M74" s="1"/>
      <c r="N74" s="1"/>
      <c r="O74" s="1"/>
      <c r="P74" s="5"/>
      <c r="Q74" s="1"/>
      <c r="R74" s="31" t="s">
        <v>46</v>
      </c>
      <c r="S74" s="38" t="s">
        <v>114</v>
      </c>
      <c r="T74" s="32"/>
      <c r="U74" s="31" t="s">
        <v>46</v>
      </c>
      <c r="V74" s="12" t="s">
        <v>138</v>
      </c>
      <c r="W74" s="33" t="str">
        <f t="shared" si="6"/>
        <v>110</v>
      </c>
      <c r="X74" s="34" t="s">
        <v>46</v>
      </c>
      <c r="Y74" s="35"/>
      <c r="Z74" s="36" t="str">
        <f t="shared" si="7"/>
        <v>1F</v>
      </c>
      <c r="AA74" s="12" t="s">
        <v>142</v>
      </c>
      <c r="AB74" s="32">
        <v>11111</v>
      </c>
    </row>
    <row r="75" spans="1:28" ht="12.75" customHeight="1" x14ac:dyDescent="0.2">
      <c r="A75" s="1"/>
      <c r="B75" s="1"/>
      <c r="C75" s="1"/>
      <c r="D75" s="1"/>
      <c r="F75" s="1"/>
      <c r="G75" s="1"/>
      <c r="H75" s="1"/>
      <c r="I75" s="1"/>
      <c r="J75" s="1"/>
      <c r="K75" s="1"/>
      <c r="L75" s="1"/>
      <c r="M75" s="1"/>
      <c r="N75" s="1"/>
      <c r="O75" s="1"/>
      <c r="P75" s="5"/>
      <c r="Q75" s="1"/>
      <c r="R75" s="31" t="s">
        <v>58</v>
      </c>
      <c r="S75" s="12" t="s">
        <v>116</v>
      </c>
      <c r="T75" s="32"/>
      <c r="U75" s="31" t="s">
        <v>58</v>
      </c>
      <c r="V75" s="12" t="s">
        <v>138</v>
      </c>
      <c r="W75" s="33" t="str">
        <f t="shared" si="6"/>
        <v>111</v>
      </c>
      <c r="X75" s="34" t="s">
        <v>58</v>
      </c>
      <c r="Y75" s="35"/>
      <c r="Z75" s="36" t="str">
        <f t="shared" si="7"/>
        <v>3F</v>
      </c>
      <c r="AA75" s="12" t="s">
        <v>143</v>
      </c>
      <c r="AB75" s="32">
        <v>111111</v>
      </c>
    </row>
    <row r="76" spans="1:28" ht="12.75" customHeight="1" x14ac:dyDescent="0.2">
      <c r="A76" s="1"/>
      <c r="B76" s="1"/>
      <c r="C76" s="1"/>
      <c r="D76" s="1"/>
      <c r="F76" s="1"/>
      <c r="G76" s="1"/>
      <c r="H76" s="1"/>
      <c r="I76" s="1"/>
      <c r="J76" s="1"/>
      <c r="K76" s="1"/>
      <c r="L76" s="1"/>
      <c r="M76" s="1"/>
      <c r="N76" s="1"/>
      <c r="O76" s="1"/>
      <c r="P76" s="5"/>
      <c r="Q76" s="1"/>
      <c r="R76" s="31" t="s">
        <v>63</v>
      </c>
      <c r="S76" s="12" t="s">
        <v>118</v>
      </c>
      <c r="T76" s="32"/>
      <c r="U76" s="31" t="s">
        <v>63</v>
      </c>
      <c r="V76" s="12" t="s">
        <v>144</v>
      </c>
      <c r="W76" s="33" t="str">
        <f t="shared" si="6"/>
        <v>1000</v>
      </c>
      <c r="X76" s="34" t="s">
        <v>63</v>
      </c>
      <c r="Y76" s="35" t="s">
        <v>145</v>
      </c>
      <c r="Z76" s="36" t="str">
        <f t="shared" si="7"/>
        <v>7F</v>
      </c>
      <c r="AA76" s="12" t="s">
        <v>146</v>
      </c>
      <c r="AB76" s="32">
        <v>1111111</v>
      </c>
    </row>
    <row r="77" spans="1:28" ht="12.75" customHeight="1" x14ac:dyDescent="0.2">
      <c r="A77" s="1"/>
      <c r="B77" s="1"/>
      <c r="C77" s="1"/>
      <c r="D77" s="1"/>
      <c r="F77" s="1"/>
      <c r="G77" s="1"/>
      <c r="H77" s="1"/>
      <c r="I77" s="1"/>
      <c r="J77" s="1"/>
      <c r="K77" s="1"/>
      <c r="L77" s="1"/>
      <c r="M77" s="1"/>
      <c r="N77" s="1"/>
      <c r="O77" s="1"/>
      <c r="P77" s="5"/>
      <c r="Q77" s="1"/>
      <c r="R77" s="31" t="s">
        <v>71</v>
      </c>
      <c r="S77" s="12" t="s">
        <v>147</v>
      </c>
      <c r="T77" s="32"/>
      <c r="U77" s="37" t="s">
        <v>71</v>
      </c>
      <c r="V77" s="12" t="s">
        <v>38</v>
      </c>
      <c r="W77" s="33" t="str">
        <f t="shared" si="6"/>
        <v>1001</v>
      </c>
      <c r="X77" s="34" t="s">
        <v>71</v>
      </c>
      <c r="Y77" s="35"/>
      <c r="Z77" s="36" t="s">
        <v>130</v>
      </c>
      <c r="AA77" s="12" t="s">
        <v>148</v>
      </c>
      <c r="AB77" s="32" t="str">
        <f t="shared" ref="AB77:AB84" si="8">HEX2BIN(Z77)</f>
        <v>110000</v>
      </c>
    </row>
    <row r="78" spans="1:28" ht="12.75" customHeight="1" x14ac:dyDescent="0.2">
      <c r="A78" s="1"/>
      <c r="B78" s="1"/>
      <c r="C78" s="1"/>
      <c r="D78" s="1"/>
      <c r="F78" s="1"/>
      <c r="G78" s="1"/>
      <c r="H78" s="1"/>
      <c r="I78" s="1"/>
      <c r="J78" s="1"/>
      <c r="K78" s="1"/>
      <c r="L78" s="1"/>
      <c r="M78" s="1"/>
      <c r="N78" s="1"/>
      <c r="O78" s="1"/>
      <c r="P78" s="5"/>
      <c r="Q78" s="1"/>
      <c r="R78" s="31" t="s">
        <v>70</v>
      </c>
      <c r="S78" s="12" t="s">
        <v>149</v>
      </c>
      <c r="T78" s="32"/>
      <c r="U78" s="31" t="s">
        <v>70</v>
      </c>
      <c r="V78" s="12" t="s">
        <v>138</v>
      </c>
      <c r="W78" s="33" t="str">
        <f t="shared" si="6"/>
        <v>1010</v>
      </c>
      <c r="X78" s="34" t="s">
        <v>70</v>
      </c>
      <c r="Y78" s="35"/>
      <c r="Z78" s="36" t="s">
        <v>150</v>
      </c>
      <c r="AA78" s="12" t="s">
        <v>151</v>
      </c>
      <c r="AB78" s="32" t="str">
        <f t="shared" si="8"/>
        <v>111010</v>
      </c>
    </row>
    <row r="79" spans="1:28" ht="12.75" customHeight="1" x14ac:dyDescent="0.2">
      <c r="A79" s="1"/>
      <c r="B79" s="1"/>
      <c r="C79" s="1"/>
      <c r="D79" s="1"/>
      <c r="F79" s="1"/>
      <c r="G79" s="1"/>
      <c r="H79" s="1"/>
      <c r="I79" s="1"/>
      <c r="J79" s="1"/>
      <c r="K79" s="1"/>
      <c r="L79" s="1"/>
      <c r="M79" s="1"/>
      <c r="N79" s="1"/>
      <c r="O79" s="1"/>
      <c r="P79" s="5"/>
      <c r="Q79" s="1"/>
      <c r="R79" s="31" t="s">
        <v>77</v>
      </c>
      <c r="S79" s="38" t="s">
        <v>152</v>
      </c>
      <c r="T79" s="32"/>
      <c r="U79" s="31" t="s">
        <v>77</v>
      </c>
      <c r="V79" s="12" t="s">
        <v>138</v>
      </c>
      <c r="W79" s="33" t="str">
        <f t="shared" si="6"/>
        <v>1011</v>
      </c>
      <c r="X79" s="34" t="s">
        <v>77</v>
      </c>
      <c r="Y79" s="35"/>
      <c r="Z79" s="36" t="s">
        <v>20</v>
      </c>
      <c r="AA79" s="12" t="s">
        <v>153</v>
      </c>
      <c r="AB79" s="32" t="str">
        <f t="shared" si="8"/>
        <v>111011</v>
      </c>
    </row>
    <row r="80" spans="1:28" ht="12.75" customHeight="1" x14ac:dyDescent="0.2">
      <c r="A80" s="1"/>
      <c r="B80" s="1"/>
      <c r="C80" s="1"/>
      <c r="D80" s="1"/>
      <c r="F80" s="1"/>
      <c r="G80" s="1"/>
      <c r="H80" s="1"/>
      <c r="I80" s="1"/>
      <c r="J80" s="1"/>
      <c r="K80" s="1"/>
      <c r="L80" s="1"/>
      <c r="M80" s="1"/>
      <c r="N80" s="1"/>
      <c r="O80" s="1"/>
      <c r="P80" s="5"/>
      <c r="Q80" s="1"/>
      <c r="R80" s="31" t="s">
        <v>80</v>
      </c>
      <c r="S80" s="38" t="s">
        <v>154</v>
      </c>
      <c r="T80" s="32"/>
      <c r="U80" s="31" t="s">
        <v>80</v>
      </c>
      <c r="V80" s="12" t="s">
        <v>138</v>
      </c>
      <c r="W80" s="33" t="str">
        <f t="shared" si="6"/>
        <v>1100</v>
      </c>
      <c r="X80" s="34" t="s">
        <v>80</v>
      </c>
      <c r="Y80" s="35"/>
      <c r="Z80" s="36" t="s">
        <v>155</v>
      </c>
      <c r="AA80" s="12" t="s">
        <v>156</v>
      </c>
      <c r="AB80" s="32" t="str">
        <f t="shared" si="8"/>
        <v>111100</v>
      </c>
    </row>
    <row r="81" spans="1:28" ht="12.75" customHeight="1" x14ac:dyDescent="0.2">
      <c r="A81" s="1"/>
      <c r="B81" s="1"/>
      <c r="C81" s="1"/>
      <c r="D81" s="1"/>
      <c r="F81" s="1"/>
      <c r="G81" s="1"/>
      <c r="H81" s="1"/>
      <c r="I81" s="1"/>
      <c r="J81" s="1"/>
      <c r="K81" s="1"/>
      <c r="L81" s="1"/>
      <c r="M81" s="1"/>
      <c r="N81" s="1"/>
      <c r="O81" s="1"/>
      <c r="P81" s="5"/>
      <c r="Q81" s="1"/>
      <c r="R81" s="31" t="s">
        <v>84</v>
      </c>
      <c r="S81" s="38" t="s">
        <v>157</v>
      </c>
      <c r="T81" s="32"/>
      <c r="U81" s="31" t="s">
        <v>84</v>
      </c>
      <c r="V81" s="12" t="s">
        <v>138</v>
      </c>
      <c r="W81" s="33" t="str">
        <f t="shared" si="6"/>
        <v>1101</v>
      </c>
      <c r="X81" s="34" t="s">
        <v>84</v>
      </c>
      <c r="Y81" s="35"/>
      <c r="Z81" s="36" t="s">
        <v>158</v>
      </c>
      <c r="AA81" s="12" t="s">
        <v>159</v>
      </c>
      <c r="AB81" s="32" t="str">
        <f t="shared" si="8"/>
        <v>111101</v>
      </c>
    </row>
    <row r="82" spans="1:28" ht="12.75" customHeight="1" x14ac:dyDescent="0.2">
      <c r="A82" s="1"/>
      <c r="B82" s="1"/>
      <c r="C82" s="1"/>
      <c r="D82" s="1"/>
      <c r="F82" s="1"/>
      <c r="G82" s="1"/>
      <c r="H82" s="1"/>
      <c r="I82" s="1"/>
      <c r="J82" s="1"/>
      <c r="K82" s="1"/>
      <c r="L82" s="1"/>
      <c r="M82" s="1"/>
      <c r="N82" s="1"/>
      <c r="O82" s="1"/>
      <c r="P82" s="5"/>
      <c r="Q82" s="1"/>
      <c r="R82" s="31" t="s">
        <v>85</v>
      </c>
      <c r="S82" s="38" t="s">
        <v>160</v>
      </c>
      <c r="T82" s="32"/>
      <c r="U82" s="31" t="s">
        <v>85</v>
      </c>
      <c r="V82" s="12" t="s">
        <v>138</v>
      </c>
      <c r="W82" s="33" t="str">
        <f t="shared" si="6"/>
        <v>1110</v>
      </c>
      <c r="X82" s="34" t="s">
        <v>85</v>
      </c>
      <c r="Y82" s="35"/>
      <c r="Z82" s="36" t="s">
        <v>161</v>
      </c>
      <c r="AA82" s="12" t="s">
        <v>162</v>
      </c>
      <c r="AB82" s="32" t="str">
        <f t="shared" si="8"/>
        <v>111110</v>
      </c>
    </row>
    <row r="83" spans="1:28" ht="12.75" customHeight="1" x14ac:dyDescent="0.2">
      <c r="A83" s="1"/>
      <c r="B83" s="1"/>
      <c r="C83" s="1"/>
      <c r="D83" s="1"/>
      <c r="F83" s="1"/>
      <c r="G83" s="1"/>
      <c r="H83" s="1"/>
      <c r="I83" s="1"/>
      <c r="J83" s="1"/>
      <c r="K83" s="1"/>
      <c r="L83" s="1"/>
      <c r="M83" s="1"/>
      <c r="N83" s="1"/>
      <c r="O83" s="1"/>
      <c r="P83" s="5"/>
      <c r="Q83" s="1"/>
      <c r="R83" s="31" t="s">
        <v>86</v>
      </c>
      <c r="S83" s="38" t="s">
        <v>163</v>
      </c>
      <c r="T83" s="32"/>
      <c r="U83" s="31" t="s">
        <v>86</v>
      </c>
      <c r="V83" s="12" t="s">
        <v>138</v>
      </c>
      <c r="W83" s="33" t="str">
        <f t="shared" si="6"/>
        <v>1111</v>
      </c>
      <c r="X83" s="34" t="s">
        <v>86</v>
      </c>
      <c r="Y83" s="35"/>
      <c r="Z83" s="36" t="s">
        <v>103</v>
      </c>
      <c r="AA83" s="12" t="s">
        <v>143</v>
      </c>
      <c r="AB83" s="32" t="str">
        <f t="shared" si="8"/>
        <v>111111</v>
      </c>
    </row>
    <row r="84" spans="1:28" ht="12.75" customHeight="1" x14ac:dyDescent="0.2">
      <c r="A84" s="1"/>
      <c r="B84" s="1"/>
      <c r="C84" s="1"/>
      <c r="D84" s="1"/>
      <c r="F84" s="1"/>
      <c r="G84" s="1"/>
      <c r="H84" s="1"/>
      <c r="I84" s="1"/>
      <c r="J84" s="1"/>
      <c r="K84" s="1"/>
      <c r="L84" s="1"/>
      <c r="M84" s="1"/>
      <c r="N84" s="1"/>
      <c r="O84" s="1"/>
      <c r="P84" s="5"/>
      <c r="Q84" s="1"/>
      <c r="R84" s="31" t="s">
        <v>89</v>
      </c>
      <c r="S84" s="38" t="s">
        <v>164</v>
      </c>
      <c r="T84" s="32"/>
      <c r="U84" s="31" t="s">
        <v>89</v>
      </c>
      <c r="V84" s="12" t="s">
        <v>165</v>
      </c>
      <c r="W84" s="33" t="str">
        <f t="shared" si="6"/>
        <v>10000</v>
      </c>
      <c r="X84" s="34" t="s">
        <v>89</v>
      </c>
      <c r="Y84" s="35"/>
      <c r="Z84" s="36" t="s">
        <v>166</v>
      </c>
      <c r="AA84" s="12" t="s">
        <v>167</v>
      </c>
      <c r="AB84" s="32" t="str">
        <f t="shared" si="8"/>
        <v>1000000</v>
      </c>
    </row>
    <row r="85" spans="1:28" ht="12.75" customHeight="1" x14ac:dyDescent="0.2">
      <c r="A85" s="1"/>
      <c r="B85" s="1"/>
      <c r="C85" s="1"/>
      <c r="D85" s="1"/>
      <c r="F85" s="1"/>
      <c r="G85" s="1"/>
      <c r="H85" s="1"/>
      <c r="I85" s="1"/>
      <c r="J85" s="1"/>
      <c r="K85" s="1"/>
      <c r="L85" s="1"/>
      <c r="M85" s="1"/>
      <c r="N85" s="1"/>
      <c r="O85" s="1"/>
      <c r="P85" s="5"/>
      <c r="Q85" s="1"/>
      <c r="R85" s="31" t="s">
        <v>168</v>
      </c>
      <c r="S85" s="38" t="s">
        <v>169</v>
      </c>
      <c r="T85" s="32"/>
      <c r="U85" s="31" t="s">
        <v>168</v>
      </c>
      <c r="V85" s="12" t="s">
        <v>165</v>
      </c>
      <c r="W85" s="33" t="str">
        <f t="shared" si="6"/>
        <v>10001</v>
      </c>
      <c r="X85" s="34" t="s">
        <v>168</v>
      </c>
      <c r="Y85" s="35"/>
      <c r="Z85" s="36"/>
      <c r="AA85" s="12"/>
      <c r="AB85" s="32"/>
    </row>
    <row r="86" spans="1:28" ht="12.75" customHeight="1" x14ac:dyDescent="0.2">
      <c r="A86" s="1"/>
      <c r="B86" s="1"/>
      <c r="C86" s="1"/>
      <c r="D86" s="1"/>
      <c r="F86" s="1"/>
      <c r="G86" s="1"/>
      <c r="H86" s="1"/>
      <c r="I86" s="1"/>
      <c r="J86" s="1"/>
      <c r="K86" s="1"/>
      <c r="L86" s="1"/>
      <c r="M86" s="1"/>
      <c r="N86" s="1"/>
      <c r="O86" s="1"/>
      <c r="P86" s="5"/>
      <c r="Q86" s="1"/>
      <c r="R86" s="36" t="s">
        <v>170</v>
      </c>
      <c r="S86" s="38" t="s">
        <v>171</v>
      </c>
      <c r="T86" s="32"/>
      <c r="U86" s="37" t="s">
        <v>170</v>
      </c>
      <c r="V86" s="12"/>
      <c r="W86" s="33" t="str">
        <f t="shared" si="6"/>
        <v>10010</v>
      </c>
      <c r="X86" s="34" t="s">
        <v>170</v>
      </c>
      <c r="Y86" s="35"/>
      <c r="Z86" s="36"/>
      <c r="AA86" s="12"/>
      <c r="AB86" s="32"/>
    </row>
    <row r="87" spans="1:28" ht="12.75" customHeight="1" x14ac:dyDescent="0.2">
      <c r="A87" s="1"/>
      <c r="B87" s="1"/>
      <c r="C87" s="1"/>
      <c r="D87" s="1"/>
      <c r="F87" s="1"/>
      <c r="G87" s="1"/>
      <c r="H87" s="1"/>
      <c r="I87" s="1"/>
      <c r="J87" s="1"/>
      <c r="K87" s="1"/>
      <c r="L87" s="1"/>
      <c r="M87" s="1"/>
      <c r="N87" s="1"/>
      <c r="O87" s="1"/>
      <c r="P87" s="5"/>
      <c r="Q87" s="1"/>
      <c r="R87" s="36" t="s">
        <v>172</v>
      </c>
      <c r="S87" s="38" t="s">
        <v>173</v>
      </c>
      <c r="T87" s="32"/>
      <c r="U87" s="31" t="s">
        <v>172</v>
      </c>
      <c r="V87" s="12" t="s">
        <v>174</v>
      </c>
      <c r="W87" s="33" t="str">
        <f t="shared" si="6"/>
        <v>10011</v>
      </c>
      <c r="X87" s="34" t="s">
        <v>172</v>
      </c>
      <c r="Y87" s="35"/>
      <c r="Z87" s="36"/>
      <c r="AA87" s="12"/>
      <c r="AB87" s="32"/>
    </row>
    <row r="88" spans="1:28" ht="12.75" customHeight="1" x14ac:dyDescent="0.2">
      <c r="A88" s="1"/>
      <c r="B88" s="1"/>
      <c r="C88" s="1"/>
      <c r="D88" s="1"/>
      <c r="F88" s="1"/>
      <c r="G88" s="1"/>
      <c r="H88" s="1"/>
      <c r="I88" s="1"/>
      <c r="J88" s="1"/>
      <c r="K88" s="1"/>
      <c r="L88" s="1"/>
      <c r="M88" s="1"/>
      <c r="N88" s="1"/>
      <c r="O88" s="1"/>
      <c r="P88" s="5"/>
      <c r="Q88" s="1"/>
      <c r="R88" s="36" t="s">
        <v>175</v>
      </c>
      <c r="S88" s="12"/>
      <c r="T88" s="32"/>
      <c r="U88" s="31" t="s">
        <v>175</v>
      </c>
      <c r="V88" s="12" t="s">
        <v>176</v>
      </c>
      <c r="W88" s="33" t="str">
        <f t="shared" si="6"/>
        <v>10100</v>
      </c>
      <c r="X88" s="34" t="s">
        <v>175</v>
      </c>
      <c r="Y88" s="35"/>
      <c r="Z88" s="36"/>
      <c r="AA88" s="12"/>
      <c r="AB88" s="32"/>
    </row>
    <row r="89" spans="1:28" ht="12.75" customHeight="1" x14ac:dyDescent="0.2">
      <c r="A89" s="1"/>
      <c r="B89" s="1"/>
      <c r="C89" s="1"/>
      <c r="D89" s="1"/>
      <c r="F89" s="1"/>
      <c r="G89" s="1"/>
      <c r="H89" s="1"/>
      <c r="I89" s="1"/>
      <c r="J89" s="1"/>
      <c r="K89" s="1"/>
      <c r="L89" s="1"/>
      <c r="M89" s="1"/>
      <c r="N89" s="1"/>
      <c r="O89" s="1"/>
      <c r="P89" s="5"/>
      <c r="Q89" s="1"/>
      <c r="R89" s="36" t="s">
        <v>177</v>
      </c>
      <c r="S89" s="12"/>
      <c r="T89" s="32"/>
      <c r="U89" s="31" t="s">
        <v>177</v>
      </c>
      <c r="V89" s="12" t="s">
        <v>178</v>
      </c>
      <c r="W89" s="33" t="str">
        <f t="shared" si="6"/>
        <v>10101</v>
      </c>
      <c r="X89" s="34" t="s">
        <v>177</v>
      </c>
      <c r="Y89" s="35"/>
      <c r="Z89" s="36"/>
      <c r="AA89" s="12"/>
      <c r="AB89" s="32"/>
    </row>
    <row r="90" spans="1:28" ht="12.75" customHeight="1" x14ac:dyDescent="0.2">
      <c r="A90" s="1"/>
      <c r="B90" s="1"/>
      <c r="C90" s="1"/>
      <c r="D90" s="1"/>
      <c r="F90" s="1"/>
      <c r="G90" s="1"/>
      <c r="H90" s="1"/>
      <c r="I90" s="1"/>
      <c r="J90" s="1"/>
      <c r="K90" s="1"/>
      <c r="L90" s="1"/>
      <c r="M90" s="1"/>
      <c r="N90" s="1"/>
      <c r="O90" s="1"/>
      <c r="P90" s="5"/>
      <c r="Q90" s="1"/>
      <c r="R90" s="36" t="s">
        <v>179</v>
      </c>
      <c r="S90" s="12"/>
      <c r="T90" s="32"/>
      <c r="U90" s="31" t="s">
        <v>179</v>
      </c>
      <c r="V90" s="12"/>
      <c r="W90" s="33" t="str">
        <f t="shared" si="6"/>
        <v>10110</v>
      </c>
      <c r="X90" s="34" t="s">
        <v>179</v>
      </c>
      <c r="Y90" s="35"/>
      <c r="Z90" s="36"/>
      <c r="AA90" s="12"/>
      <c r="AB90" s="32"/>
    </row>
    <row r="91" spans="1:28" ht="13.5" customHeight="1" x14ac:dyDescent="0.2">
      <c r="A91" s="1"/>
      <c r="B91" s="1"/>
      <c r="C91" s="1"/>
      <c r="D91" s="1"/>
      <c r="F91" s="1"/>
      <c r="G91" s="1"/>
      <c r="H91" s="1"/>
      <c r="I91" s="1"/>
      <c r="J91" s="1"/>
      <c r="K91" s="1"/>
      <c r="L91" s="1"/>
      <c r="M91" s="1"/>
      <c r="N91" s="1"/>
      <c r="O91" s="1"/>
      <c r="P91" s="5"/>
      <c r="Q91" s="1"/>
      <c r="R91" s="39" t="s">
        <v>180</v>
      </c>
      <c r="S91" s="22"/>
      <c r="T91" s="40"/>
      <c r="U91" s="31" t="s">
        <v>180</v>
      </c>
      <c r="V91" s="12" t="s">
        <v>165</v>
      </c>
      <c r="W91" s="33" t="str">
        <f t="shared" si="6"/>
        <v>10111</v>
      </c>
      <c r="X91" s="34" t="s">
        <v>180</v>
      </c>
      <c r="Y91" s="35"/>
      <c r="Z91" s="36"/>
      <c r="AA91" s="12"/>
      <c r="AB91" s="32"/>
    </row>
    <row r="92" spans="1:28" ht="12.75" customHeight="1" x14ac:dyDescent="0.2">
      <c r="A92" s="1"/>
      <c r="B92" s="1"/>
      <c r="C92" s="1"/>
      <c r="D92" s="1"/>
      <c r="F92" s="1"/>
      <c r="G92" s="1"/>
      <c r="H92" s="1"/>
      <c r="I92" s="1"/>
      <c r="J92" s="1"/>
      <c r="K92" s="1"/>
      <c r="L92" s="1"/>
      <c r="M92" s="1"/>
      <c r="N92" s="1"/>
      <c r="O92" s="1"/>
      <c r="P92" s="5"/>
      <c r="Q92" s="1"/>
      <c r="R92" s="1"/>
      <c r="T92" s="1"/>
      <c r="U92" s="36"/>
      <c r="V92" s="12"/>
      <c r="W92" s="32"/>
      <c r="X92" s="36"/>
      <c r="Y92" s="32"/>
      <c r="Z92" s="36"/>
      <c r="AA92" s="12"/>
      <c r="AB92" s="32"/>
    </row>
    <row r="93" spans="1:28" ht="12.75" customHeight="1" x14ac:dyDescent="0.2">
      <c r="A93" s="1"/>
      <c r="B93" s="1"/>
      <c r="C93" s="1"/>
      <c r="D93" s="1"/>
      <c r="F93" s="1"/>
      <c r="G93" s="1"/>
      <c r="H93" s="1"/>
      <c r="I93" s="1"/>
      <c r="J93" s="1"/>
      <c r="K93" s="1"/>
      <c r="L93" s="1"/>
      <c r="M93" s="1"/>
      <c r="N93" s="1"/>
      <c r="O93" s="1"/>
      <c r="P93" s="5"/>
      <c r="Q93" s="1"/>
      <c r="R93" s="1"/>
      <c r="T93" s="1"/>
      <c r="U93" s="36" t="str">
        <f t="shared" ref="U93:U97" si="9">BIN2HEX(W93)</f>
        <v>1F</v>
      </c>
      <c r="V93" s="12"/>
      <c r="W93" s="32">
        <v>11111</v>
      </c>
      <c r="X93" s="36"/>
      <c r="Y93" s="32"/>
      <c r="Z93" s="36"/>
      <c r="AA93" s="12"/>
      <c r="AB93" s="32"/>
    </row>
    <row r="94" spans="1:28" ht="12.75" customHeight="1" x14ac:dyDescent="0.2">
      <c r="A94" s="1"/>
      <c r="B94" s="1"/>
      <c r="C94" s="1"/>
      <c r="D94" s="1"/>
      <c r="F94" s="1"/>
      <c r="G94" s="1"/>
      <c r="H94" s="1"/>
      <c r="I94" s="1"/>
      <c r="J94" s="1"/>
      <c r="K94" s="1"/>
      <c r="L94" s="1"/>
      <c r="M94" s="1"/>
      <c r="N94" s="1"/>
      <c r="O94" s="1"/>
      <c r="P94" s="5"/>
      <c r="Q94" s="1"/>
      <c r="R94" s="1"/>
      <c r="T94" s="1"/>
      <c r="U94" s="36" t="str">
        <f t="shared" si="9"/>
        <v>3F</v>
      </c>
      <c r="V94" s="12"/>
      <c r="W94" s="32" t="s">
        <v>181</v>
      </c>
      <c r="X94" s="36"/>
      <c r="Y94" s="32"/>
      <c r="Z94" s="36"/>
      <c r="AA94" s="12"/>
      <c r="AB94" s="32"/>
    </row>
    <row r="95" spans="1:28" ht="12.75" customHeight="1" x14ac:dyDescent="0.2">
      <c r="A95" s="1"/>
      <c r="B95" s="1"/>
      <c r="C95" s="1"/>
      <c r="D95" s="1"/>
      <c r="F95" s="1"/>
      <c r="G95" s="1"/>
      <c r="H95" s="1"/>
      <c r="I95" s="1"/>
      <c r="J95" s="1"/>
      <c r="K95" s="1"/>
      <c r="L95" s="1"/>
      <c r="M95" s="1"/>
      <c r="N95" s="1"/>
      <c r="O95" s="1"/>
      <c r="P95" s="5"/>
      <c r="Q95" s="1"/>
      <c r="R95" s="1"/>
      <c r="T95" s="1"/>
      <c r="U95" s="36" t="str">
        <f t="shared" si="9"/>
        <v>1</v>
      </c>
      <c r="V95" s="12"/>
      <c r="W95" s="32">
        <v>1</v>
      </c>
      <c r="X95" s="36"/>
      <c r="Y95" s="32"/>
      <c r="Z95" s="36"/>
      <c r="AA95" s="12"/>
      <c r="AB95" s="32"/>
    </row>
    <row r="96" spans="1:28" ht="12.75" customHeight="1" x14ac:dyDescent="0.2">
      <c r="A96" s="1"/>
      <c r="B96" s="1"/>
      <c r="C96" s="1"/>
      <c r="D96" s="1"/>
      <c r="F96" s="1"/>
      <c r="G96" s="1"/>
      <c r="H96" s="1"/>
      <c r="I96" s="1"/>
      <c r="J96" s="1"/>
      <c r="K96" s="1"/>
      <c r="L96" s="1"/>
      <c r="M96" s="1"/>
      <c r="N96" s="1"/>
      <c r="O96" s="1"/>
      <c r="P96" s="5"/>
      <c r="Q96" s="1"/>
      <c r="R96" s="1"/>
      <c r="T96" s="1"/>
      <c r="U96" s="36" t="str">
        <f t="shared" si="9"/>
        <v>2</v>
      </c>
      <c r="V96" s="12"/>
      <c r="W96" s="32">
        <v>10</v>
      </c>
      <c r="X96" s="36"/>
      <c r="Y96" s="32"/>
      <c r="Z96" s="36"/>
      <c r="AA96" s="12"/>
      <c r="AB96" s="32"/>
    </row>
    <row r="97" spans="1:28" ht="12.75" customHeight="1" x14ac:dyDescent="0.2">
      <c r="A97" s="1"/>
      <c r="B97" s="1"/>
      <c r="C97" s="1"/>
      <c r="D97" s="1"/>
      <c r="F97" s="1"/>
      <c r="G97" s="1"/>
      <c r="H97" s="1"/>
      <c r="I97" s="1"/>
      <c r="J97" s="1"/>
      <c r="K97" s="1"/>
      <c r="L97" s="1"/>
      <c r="M97" s="1"/>
      <c r="N97" s="1"/>
      <c r="O97" s="1"/>
      <c r="P97" s="5"/>
      <c r="Q97" s="1"/>
      <c r="R97" s="1"/>
      <c r="T97" s="1"/>
      <c r="U97" s="36" t="str">
        <f t="shared" si="9"/>
        <v>4</v>
      </c>
      <c r="V97" s="12"/>
      <c r="W97" s="32">
        <v>100</v>
      </c>
      <c r="X97" s="36"/>
      <c r="Y97" s="32"/>
      <c r="Z97" s="36"/>
      <c r="AA97" s="12"/>
      <c r="AB97" s="32"/>
    </row>
    <row r="98" spans="1:28" ht="12.75" customHeight="1" x14ac:dyDescent="0.2">
      <c r="A98" s="1"/>
      <c r="B98" s="1"/>
      <c r="C98" s="1"/>
      <c r="D98" s="1"/>
      <c r="F98" s="1"/>
      <c r="G98" s="1"/>
      <c r="H98" s="1"/>
      <c r="I98" s="1"/>
      <c r="J98" s="1"/>
      <c r="K98" s="1"/>
      <c r="L98" s="1"/>
      <c r="M98" s="1"/>
      <c r="N98" s="1"/>
      <c r="O98" s="1"/>
      <c r="P98" s="5"/>
      <c r="Q98" s="1"/>
      <c r="R98" s="1"/>
      <c r="T98" s="1"/>
      <c r="U98" s="41">
        <v>10</v>
      </c>
      <c r="V98" s="42" t="s">
        <v>182</v>
      </c>
      <c r="W98" s="43" t="str">
        <f t="shared" ref="W98:W99" si="10">HEX2BIN(U98)</f>
        <v>10000</v>
      </c>
      <c r="X98" s="36"/>
      <c r="Y98" s="32"/>
      <c r="Z98" s="36"/>
      <c r="AA98" s="12"/>
      <c r="AB98" s="32"/>
    </row>
    <row r="99" spans="1:28" ht="12.75" customHeight="1" x14ac:dyDescent="0.2">
      <c r="A99" s="1"/>
      <c r="B99" s="1"/>
      <c r="C99" s="1"/>
      <c r="D99" s="1"/>
      <c r="F99" s="1"/>
      <c r="G99" s="1"/>
      <c r="H99" s="1"/>
      <c r="I99" s="1"/>
      <c r="J99" s="1"/>
      <c r="K99" s="1"/>
      <c r="L99" s="1"/>
      <c r="M99" s="1"/>
      <c r="N99" s="1"/>
      <c r="O99" s="1"/>
      <c r="P99" s="5"/>
      <c r="Q99" s="1"/>
      <c r="R99" s="1"/>
      <c r="T99" s="1"/>
      <c r="U99" s="44">
        <v>20</v>
      </c>
      <c r="V99" s="45" t="s">
        <v>68</v>
      </c>
      <c r="W99" s="43" t="str">
        <f t="shared" si="10"/>
        <v>100000</v>
      </c>
      <c r="X99" s="36"/>
      <c r="Y99" s="32"/>
      <c r="Z99" s="36"/>
      <c r="AA99" s="12"/>
      <c r="AB99" s="32"/>
    </row>
    <row r="100" spans="1:28" ht="13.5" customHeight="1" x14ac:dyDescent="0.2">
      <c r="A100" s="1"/>
      <c r="B100" s="1"/>
      <c r="C100" s="1"/>
      <c r="D100" s="1"/>
      <c r="F100" s="1"/>
      <c r="G100" s="1"/>
      <c r="H100" s="1"/>
      <c r="I100" s="1"/>
      <c r="J100" s="1"/>
      <c r="K100" s="1"/>
      <c r="L100" s="1"/>
      <c r="M100" s="1"/>
      <c r="N100" s="1"/>
      <c r="O100" s="1"/>
      <c r="P100" s="5"/>
      <c r="Q100" s="1"/>
      <c r="R100" s="1"/>
      <c r="T100" s="1"/>
      <c r="U100" s="46" t="str">
        <f>BIN2HEX(W100)</f>
        <v>29</v>
      </c>
      <c r="V100" s="47"/>
      <c r="W100" s="48">
        <v>101001</v>
      </c>
      <c r="X100" s="39"/>
      <c r="Y100" s="40"/>
      <c r="Z100" s="36"/>
      <c r="AA100" s="12"/>
      <c r="AB100" s="32"/>
    </row>
    <row r="101" spans="1:28" ht="12.75" customHeight="1" x14ac:dyDescent="0.2">
      <c r="A101" s="1"/>
      <c r="B101" s="1"/>
      <c r="C101" s="1"/>
      <c r="D101" s="1"/>
      <c r="F101" s="1"/>
      <c r="G101" s="1"/>
      <c r="H101" s="1"/>
      <c r="I101" s="1"/>
      <c r="J101" s="1"/>
      <c r="K101" s="1"/>
      <c r="L101" s="1"/>
      <c r="M101" s="1"/>
      <c r="N101" s="1"/>
      <c r="O101" s="1"/>
      <c r="P101" s="5"/>
      <c r="Q101" s="1"/>
      <c r="R101" s="1"/>
      <c r="T101" s="1"/>
      <c r="U101" s="1"/>
      <c r="X101" s="49"/>
      <c r="Y101" s="49"/>
      <c r="Z101" s="36"/>
      <c r="AA101" s="12"/>
      <c r="AB101" s="32"/>
    </row>
    <row r="102" spans="1:28" ht="12.75" customHeight="1" x14ac:dyDescent="0.2">
      <c r="A102" s="1"/>
      <c r="B102" s="1"/>
      <c r="C102" s="1"/>
      <c r="D102" s="1"/>
      <c r="F102" s="1"/>
      <c r="G102" s="1"/>
      <c r="H102" s="1"/>
      <c r="I102" s="1"/>
      <c r="J102" s="1"/>
      <c r="K102" s="1"/>
      <c r="L102" s="1"/>
      <c r="M102" s="1"/>
      <c r="N102" s="1"/>
      <c r="O102" s="1"/>
      <c r="P102" s="5"/>
      <c r="Q102" s="1"/>
      <c r="R102" s="1"/>
      <c r="T102" s="1"/>
      <c r="U102" s="1"/>
      <c r="X102" s="1"/>
      <c r="Y102" s="1"/>
      <c r="Z102" s="36"/>
      <c r="AA102" s="12"/>
      <c r="AB102" s="32"/>
    </row>
    <row r="103" spans="1:28" ht="13.5" customHeight="1" x14ac:dyDescent="0.2">
      <c r="A103" s="1"/>
      <c r="B103" s="1"/>
      <c r="C103" s="1"/>
      <c r="D103" s="1"/>
      <c r="F103" s="1"/>
      <c r="G103" s="1"/>
      <c r="H103" s="1"/>
      <c r="I103" s="1"/>
      <c r="J103" s="1"/>
      <c r="K103" s="1"/>
      <c r="L103" s="1"/>
      <c r="M103" s="1"/>
      <c r="N103" s="1"/>
      <c r="O103" s="1"/>
      <c r="P103" s="5"/>
      <c r="Q103" s="1"/>
      <c r="R103" s="1"/>
      <c r="T103" s="1"/>
      <c r="U103" s="1"/>
      <c r="X103" s="49"/>
      <c r="Y103" s="49"/>
      <c r="Z103" s="39"/>
      <c r="AA103" s="22"/>
      <c r="AB103" s="40"/>
    </row>
    <row r="104" spans="1:28" ht="12.75" customHeight="1" x14ac:dyDescent="0.2">
      <c r="A104" s="1"/>
      <c r="B104" s="1"/>
      <c r="C104" s="1"/>
      <c r="D104" s="1"/>
      <c r="F104" s="1"/>
      <c r="G104" s="1"/>
      <c r="H104" s="1"/>
      <c r="I104" s="1"/>
      <c r="J104" s="1"/>
      <c r="K104" s="1"/>
      <c r="L104" s="1"/>
      <c r="M104" s="1"/>
      <c r="N104" s="1"/>
      <c r="O104" s="1"/>
      <c r="P104" s="5"/>
      <c r="Q104" s="1"/>
      <c r="R104" s="1"/>
      <c r="T104" s="1"/>
      <c r="U104" s="1"/>
      <c r="X104" s="1"/>
      <c r="Y104" s="1"/>
    </row>
    <row r="105" spans="1:28" ht="12.75" customHeight="1" x14ac:dyDescent="0.2">
      <c r="A105" s="1"/>
      <c r="B105" s="1"/>
      <c r="C105" s="1"/>
      <c r="D105" s="1"/>
      <c r="F105" s="1"/>
      <c r="G105" s="1"/>
      <c r="H105" s="1"/>
      <c r="I105" s="1"/>
      <c r="J105" s="1"/>
      <c r="K105" s="1"/>
      <c r="L105" s="1"/>
      <c r="M105" s="1"/>
      <c r="N105" s="1"/>
      <c r="O105" s="1"/>
      <c r="P105" s="5"/>
      <c r="Q105" s="1"/>
      <c r="R105" s="1"/>
      <c r="T105" s="1"/>
      <c r="U105" s="1"/>
      <c r="X105" s="1"/>
      <c r="Y105" s="1"/>
    </row>
    <row r="106" spans="1:28" ht="12.75" customHeight="1" x14ac:dyDescent="0.2">
      <c r="A106" s="1"/>
      <c r="B106" s="1"/>
      <c r="C106" s="1"/>
      <c r="D106" s="1"/>
      <c r="F106" s="1"/>
      <c r="G106" s="1"/>
      <c r="H106" s="1"/>
      <c r="I106" s="1"/>
      <c r="J106" s="1"/>
      <c r="K106" s="1"/>
      <c r="L106" s="1"/>
      <c r="M106" s="1"/>
      <c r="N106" s="1"/>
      <c r="O106" s="1"/>
      <c r="P106" s="5"/>
      <c r="Q106" s="1"/>
      <c r="R106" s="1"/>
      <c r="T106" s="1"/>
      <c r="U106" s="1"/>
      <c r="X106" s="1"/>
      <c r="Y106" s="1"/>
    </row>
    <row r="107" spans="1:28" ht="12.75" customHeight="1" x14ac:dyDescent="0.2">
      <c r="A107" s="1"/>
      <c r="B107" s="1"/>
      <c r="C107" s="1"/>
      <c r="D107" s="1"/>
      <c r="F107" s="1"/>
      <c r="G107" s="1"/>
      <c r="H107" s="1"/>
      <c r="I107" s="1"/>
      <c r="J107" s="1"/>
      <c r="K107" s="1"/>
      <c r="L107" s="1"/>
      <c r="M107" s="1"/>
      <c r="N107" s="1"/>
      <c r="O107" s="1"/>
      <c r="P107" s="5"/>
      <c r="Q107" s="1"/>
      <c r="R107" s="1"/>
      <c r="T107" s="1"/>
      <c r="U107" s="1"/>
      <c r="X107" s="1"/>
      <c r="Y107" s="1"/>
    </row>
    <row r="108" spans="1:28" ht="12.75" customHeight="1" x14ac:dyDescent="0.2">
      <c r="A108" s="1"/>
      <c r="B108" s="1"/>
      <c r="C108" s="1"/>
      <c r="D108" s="1"/>
      <c r="F108" s="1"/>
      <c r="G108" s="1"/>
      <c r="H108" s="1"/>
      <c r="I108" s="1"/>
      <c r="J108" s="1"/>
      <c r="K108" s="1"/>
      <c r="L108" s="1"/>
      <c r="M108" s="1"/>
      <c r="N108" s="1"/>
      <c r="O108" s="1"/>
      <c r="P108" s="5"/>
      <c r="Q108" s="1"/>
      <c r="R108" s="1"/>
      <c r="T108" s="1"/>
      <c r="U108" s="1"/>
      <c r="X108" s="1"/>
      <c r="Y108" s="1"/>
    </row>
    <row r="109" spans="1:28" ht="12.75" customHeight="1" x14ac:dyDescent="0.2">
      <c r="A109" s="1"/>
      <c r="B109" s="1"/>
      <c r="C109" s="1"/>
      <c r="D109" s="1"/>
      <c r="F109" s="1"/>
      <c r="G109" s="1"/>
      <c r="H109" s="1"/>
      <c r="I109" s="1"/>
      <c r="J109" s="1"/>
      <c r="K109" s="1"/>
      <c r="L109" s="1"/>
      <c r="M109" s="1"/>
      <c r="N109" s="1"/>
      <c r="O109" s="1"/>
      <c r="P109" s="5"/>
      <c r="Q109" s="1"/>
      <c r="R109" s="1"/>
      <c r="T109" s="1"/>
      <c r="U109" s="1"/>
      <c r="X109" s="1"/>
      <c r="Y109" s="1"/>
    </row>
    <row r="110" spans="1:28" ht="12.75" customHeight="1" x14ac:dyDescent="0.2">
      <c r="A110" s="1" t="s">
        <v>183</v>
      </c>
      <c r="B110" s="1"/>
      <c r="C110" s="1"/>
      <c r="D110" s="1"/>
      <c r="F110" s="1"/>
      <c r="G110" s="1"/>
      <c r="H110" s="1"/>
      <c r="I110" s="1"/>
      <c r="J110" s="1"/>
      <c r="K110" s="1"/>
      <c r="L110" s="1"/>
      <c r="M110" s="1"/>
      <c r="N110" s="1"/>
      <c r="O110" s="1"/>
      <c r="P110" s="1"/>
      <c r="Q110" s="1"/>
      <c r="R110" s="1"/>
      <c r="T110" s="1"/>
      <c r="U110" s="1"/>
      <c r="X110" s="1"/>
      <c r="Y110" s="1"/>
    </row>
    <row r="111" spans="1:28" ht="12.75" customHeight="1" x14ac:dyDescent="0.2">
      <c r="A111" s="1" t="s">
        <v>184</v>
      </c>
      <c r="B111" s="1"/>
      <c r="C111" s="1"/>
      <c r="D111" s="1"/>
      <c r="F111" s="1"/>
      <c r="G111" s="1"/>
      <c r="H111" s="1"/>
      <c r="I111" s="1"/>
      <c r="J111" s="1"/>
      <c r="K111" s="1"/>
      <c r="L111" s="1"/>
      <c r="M111" s="1"/>
      <c r="N111" s="1"/>
      <c r="O111" s="1"/>
      <c r="P111" s="1"/>
      <c r="Q111" s="1"/>
      <c r="R111" s="1"/>
      <c r="T111" s="1"/>
      <c r="U111" s="1"/>
      <c r="X111" s="1"/>
      <c r="Y111" s="1"/>
    </row>
    <row r="112" spans="1:28" ht="12.75" customHeight="1" x14ac:dyDescent="0.2">
      <c r="A112" s="1" t="s">
        <v>185</v>
      </c>
      <c r="B112" s="1"/>
      <c r="C112" s="1"/>
      <c r="D112" s="1"/>
      <c r="F112" s="1"/>
      <c r="G112" s="1"/>
      <c r="H112" s="1"/>
      <c r="I112" s="1"/>
      <c r="J112" s="1"/>
      <c r="K112" s="1"/>
      <c r="L112" s="1"/>
      <c r="M112" s="1"/>
      <c r="N112" s="1"/>
      <c r="O112" s="1"/>
      <c r="P112" s="1"/>
      <c r="Q112" s="1"/>
      <c r="R112" s="1"/>
      <c r="T112" s="1"/>
      <c r="U112" s="1"/>
      <c r="X112" s="1"/>
      <c r="Y112" s="1"/>
    </row>
    <row r="113" spans="1:25" ht="12.75" customHeight="1" x14ac:dyDescent="0.2">
      <c r="A113" s="1" t="s">
        <v>186</v>
      </c>
      <c r="B113" s="1"/>
      <c r="C113" s="1"/>
      <c r="D113" s="1"/>
      <c r="F113" s="1"/>
      <c r="G113" s="1"/>
      <c r="H113" s="1"/>
      <c r="I113" s="1"/>
      <c r="J113" s="1"/>
      <c r="K113" s="1"/>
      <c r="L113" s="1"/>
      <c r="M113" s="1"/>
      <c r="N113" s="1"/>
      <c r="O113" s="1"/>
      <c r="P113" s="1"/>
      <c r="Q113" s="1"/>
      <c r="R113" s="1"/>
      <c r="T113" s="1"/>
      <c r="U113" s="1"/>
      <c r="X113" s="1"/>
      <c r="Y113" s="1"/>
    </row>
    <row r="114" spans="1:25" ht="12.75" customHeight="1" x14ac:dyDescent="0.2">
      <c r="A114" s="1" t="s">
        <v>187</v>
      </c>
      <c r="B114" s="1"/>
      <c r="C114" s="1"/>
      <c r="D114" s="1"/>
      <c r="F114" s="1"/>
      <c r="G114" s="1"/>
      <c r="H114" s="1"/>
      <c r="I114" s="1"/>
      <c r="J114" s="1"/>
      <c r="K114" s="1"/>
      <c r="L114" s="1"/>
      <c r="M114" s="1"/>
      <c r="N114" s="1"/>
      <c r="O114" s="1"/>
      <c r="P114" s="1"/>
      <c r="Q114" s="1"/>
      <c r="R114" s="1"/>
      <c r="T114" s="1"/>
      <c r="U114" s="1"/>
      <c r="X114" s="1"/>
      <c r="Y114" s="1"/>
    </row>
    <row r="115" spans="1:25" ht="12.75" customHeight="1" x14ac:dyDescent="0.2">
      <c r="A115" s="1" t="s">
        <v>188</v>
      </c>
      <c r="B115" s="1"/>
      <c r="C115" s="1"/>
      <c r="D115" s="1"/>
      <c r="F115" s="1"/>
      <c r="G115" s="1"/>
      <c r="H115" s="1"/>
      <c r="I115" s="1"/>
      <c r="J115" s="1"/>
      <c r="K115" s="1"/>
      <c r="L115" s="1"/>
      <c r="M115" s="1"/>
      <c r="N115" s="1"/>
      <c r="O115" s="1"/>
      <c r="P115" s="1"/>
      <c r="Q115" s="1"/>
      <c r="R115" s="1"/>
      <c r="T115" s="1"/>
      <c r="U115" s="1"/>
      <c r="X115" s="1"/>
      <c r="Y115" s="1"/>
    </row>
    <row r="116" spans="1:25" ht="12.75" customHeight="1" x14ac:dyDescent="0.2">
      <c r="A116" s="1" t="s">
        <v>189</v>
      </c>
      <c r="B116" s="1"/>
      <c r="C116" s="1"/>
      <c r="D116" s="1"/>
      <c r="F116" s="1"/>
      <c r="G116" s="1"/>
      <c r="H116" s="1"/>
      <c r="I116" s="1"/>
      <c r="J116" s="1"/>
      <c r="K116" s="1"/>
      <c r="L116" s="1"/>
      <c r="M116" s="1"/>
      <c r="N116" s="1"/>
      <c r="O116" s="1"/>
      <c r="P116" s="1"/>
      <c r="Q116" s="1"/>
      <c r="R116" s="1"/>
      <c r="T116" s="1"/>
      <c r="U116" s="1"/>
      <c r="X116" s="1"/>
      <c r="Y116" s="1"/>
    </row>
    <row r="117" spans="1:25" ht="12.75" customHeight="1" x14ac:dyDescent="0.2">
      <c r="A117" s="1" t="s">
        <v>190</v>
      </c>
      <c r="B117" s="1"/>
      <c r="C117" s="1"/>
      <c r="D117" s="1"/>
      <c r="F117" s="1"/>
      <c r="G117" s="1"/>
      <c r="H117" s="1"/>
      <c r="I117" s="1"/>
      <c r="J117" s="1"/>
      <c r="K117" s="1"/>
      <c r="L117" s="1"/>
      <c r="M117" s="1"/>
      <c r="N117" s="1"/>
      <c r="O117" s="1"/>
      <c r="P117" s="1"/>
      <c r="Q117" s="1"/>
      <c r="R117" s="1"/>
      <c r="T117" s="1"/>
      <c r="U117" s="1"/>
      <c r="X117" s="1"/>
      <c r="Y117" s="1"/>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212"/>
  <sheetViews>
    <sheetView topLeftCell="B1" workbookViewId="0">
      <pane ySplit="1" topLeftCell="A2" activePane="bottomLeft" state="frozen"/>
      <selection pane="bottomLeft" activeCell="I17" sqref="I17"/>
    </sheetView>
  </sheetViews>
  <sheetFormatPr defaultColWidth="17.28515625" defaultRowHeight="15" customHeight="1" x14ac:dyDescent="0.2"/>
  <cols>
    <col min="1" max="1" width="68.140625" hidden="1" customWidth="1"/>
    <col min="2" max="2" width="18.7109375" customWidth="1"/>
    <col min="3" max="3" width="49.7109375" hidden="1" customWidth="1"/>
    <col min="4" max="5" width="13.85546875" customWidth="1"/>
    <col min="6" max="6" width="8.28515625" customWidth="1"/>
    <col min="7" max="15" width="3" customWidth="1"/>
    <col min="16" max="16" width="4.140625" customWidth="1"/>
    <col min="17" max="17" width="3" customWidth="1"/>
    <col min="18" max="24" width="3.7109375" customWidth="1"/>
    <col min="25" max="26" width="3.42578125" customWidth="1"/>
    <col min="27" max="31" width="3.140625" customWidth="1"/>
  </cols>
  <sheetData>
    <row r="1" spans="1:40" ht="12.75" customHeight="1" x14ac:dyDescent="0.2">
      <c r="A1" s="1"/>
      <c r="B1" s="1"/>
      <c r="C1" s="1"/>
      <c r="D1" s="1" t="s">
        <v>0</v>
      </c>
      <c r="E1" s="1" t="s">
        <v>1</v>
      </c>
      <c r="F1" s="15" t="s">
        <v>0</v>
      </c>
      <c r="G1" s="11" t="s">
        <v>2</v>
      </c>
      <c r="H1" s="16" t="s">
        <v>1</v>
      </c>
      <c r="I1" s="1" t="s">
        <v>3</v>
      </c>
      <c r="J1" s="1" t="s">
        <v>4</v>
      </c>
      <c r="K1" s="1" t="s">
        <v>5</v>
      </c>
      <c r="L1" s="1" t="s">
        <v>6</v>
      </c>
      <c r="M1" s="1" t="s">
        <v>7</v>
      </c>
      <c r="N1" s="1" t="s">
        <v>8</v>
      </c>
      <c r="O1" s="1"/>
      <c r="P1" s="1"/>
      <c r="Q1" s="1"/>
      <c r="R1" s="1"/>
      <c r="S1" s="1"/>
      <c r="T1" s="1"/>
      <c r="U1" s="1"/>
      <c r="V1" s="1"/>
      <c r="W1" s="1"/>
      <c r="X1" s="1"/>
      <c r="Y1" s="1"/>
      <c r="Z1" s="1"/>
      <c r="AA1" s="1"/>
      <c r="AB1" s="1"/>
      <c r="AC1" s="1"/>
      <c r="AD1" s="1"/>
      <c r="AE1" s="1"/>
    </row>
    <row r="2" spans="1:40" ht="15.75" customHeight="1" x14ac:dyDescent="0.25">
      <c r="A2" s="1" t="s">
        <v>191</v>
      </c>
      <c r="B2" s="6" t="s">
        <v>192</v>
      </c>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40" ht="12.75" customHeight="1" x14ac:dyDescent="0.2">
      <c r="A3" s="1" t="s">
        <v>193</v>
      </c>
      <c r="B3" s="1" t="s">
        <v>194</v>
      </c>
      <c r="C3" s="1" t="s">
        <v>195</v>
      </c>
      <c r="D3" s="10" t="str">
        <f>VLOOKUP(F3,Format!G:H,2,FALSE)</f>
        <v>Steering Wheel</v>
      </c>
      <c r="E3" s="10" t="str">
        <f>VLOOKUP(H3,Format!G:H,2,FALSE)</f>
        <v>Radio</v>
      </c>
      <c r="F3" s="15" t="s">
        <v>196</v>
      </c>
      <c r="G3" s="11" t="s">
        <v>18</v>
      </c>
      <c r="H3" s="16" t="s">
        <v>12</v>
      </c>
      <c r="I3" s="5" t="s">
        <v>197</v>
      </c>
      <c r="J3" s="5" t="s">
        <v>168</v>
      </c>
      <c r="K3" s="1"/>
      <c r="L3" s="1"/>
      <c r="M3" s="1"/>
      <c r="N3" s="1"/>
      <c r="O3" s="1"/>
      <c r="P3" s="1"/>
      <c r="Q3" s="5"/>
      <c r="R3" s="1"/>
      <c r="S3" s="1"/>
      <c r="T3" s="1"/>
      <c r="U3" s="1"/>
      <c r="V3" s="1"/>
      <c r="W3" s="1"/>
      <c r="X3" s="1"/>
      <c r="Y3" s="1"/>
      <c r="Z3" s="1"/>
      <c r="AA3" s="1"/>
      <c r="AB3" s="1"/>
      <c r="AC3" s="1"/>
      <c r="AD3" s="1"/>
      <c r="AE3" s="1"/>
    </row>
    <row r="4" spans="1:40" ht="12.75" customHeight="1" x14ac:dyDescent="0.2">
      <c r="A4" s="1" t="s">
        <v>198</v>
      </c>
      <c r="B4" s="1" t="s">
        <v>199</v>
      </c>
      <c r="C4" s="1" t="s">
        <v>200</v>
      </c>
      <c r="D4" s="10" t="str">
        <f>VLOOKUP(F4,Format!G:H,2,FALSE)</f>
        <v>Steering Wheel</v>
      </c>
      <c r="E4" s="10" t="str">
        <f>VLOOKUP(H4,Format!G:H,2,FALSE)</f>
        <v>Radio</v>
      </c>
      <c r="F4" s="15" t="s">
        <v>196</v>
      </c>
      <c r="G4" s="11" t="s">
        <v>18</v>
      </c>
      <c r="H4" s="16" t="s">
        <v>12</v>
      </c>
      <c r="I4" s="5" t="s">
        <v>197</v>
      </c>
      <c r="J4" s="5" t="s">
        <v>89</v>
      </c>
      <c r="K4" s="1"/>
      <c r="L4" s="1"/>
      <c r="M4" s="1"/>
      <c r="N4" s="1"/>
      <c r="O4" s="1"/>
      <c r="P4" s="1"/>
      <c r="Q4" s="5"/>
      <c r="R4" s="1"/>
      <c r="S4" s="1"/>
      <c r="T4" s="1"/>
      <c r="U4" s="1"/>
      <c r="V4" s="1"/>
      <c r="W4" s="1"/>
      <c r="X4" s="1"/>
      <c r="Y4" s="1"/>
      <c r="Z4" s="1"/>
      <c r="AA4" s="1"/>
      <c r="AB4" s="1"/>
      <c r="AC4" s="1"/>
      <c r="AD4" s="1"/>
      <c r="AE4" s="1"/>
    </row>
    <row r="5" spans="1:40" ht="12.75" customHeight="1" x14ac:dyDescent="0.2">
      <c r="A5" s="1" t="s">
        <v>201</v>
      </c>
      <c r="B5" s="1" t="s">
        <v>202</v>
      </c>
      <c r="C5" s="1" t="s">
        <v>203</v>
      </c>
      <c r="D5" s="10" t="str">
        <f>VLOOKUP(F5,Format!G:H,2,FALSE)</f>
        <v>Steering Wheel</v>
      </c>
      <c r="E5" s="10" t="str">
        <f>VLOOKUP(H5,Format!G:H,2,FALSE)</f>
        <v>Radio</v>
      </c>
      <c r="F5" s="15" t="s">
        <v>196</v>
      </c>
      <c r="G5" s="11" t="s">
        <v>18</v>
      </c>
      <c r="H5" s="16" t="s">
        <v>12</v>
      </c>
      <c r="I5" s="5" t="s">
        <v>20</v>
      </c>
      <c r="J5" s="5" t="s">
        <v>15</v>
      </c>
      <c r="K5" s="1"/>
      <c r="L5" s="1"/>
      <c r="M5" s="1"/>
      <c r="N5" s="1"/>
      <c r="O5" s="1"/>
      <c r="P5" s="1"/>
      <c r="Q5" s="5"/>
      <c r="R5" s="1"/>
      <c r="S5" s="1"/>
      <c r="T5" s="1"/>
      <c r="U5" s="1"/>
      <c r="V5" s="1"/>
      <c r="W5" s="1"/>
      <c r="X5" s="1"/>
      <c r="Y5" s="1"/>
      <c r="Z5" s="1"/>
      <c r="AA5" s="1"/>
      <c r="AB5" s="1"/>
      <c r="AC5" s="1"/>
      <c r="AD5" s="1"/>
      <c r="AE5" s="1"/>
    </row>
    <row r="6" spans="1:40" ht="12.75" customHeight="1" x14ac:dyDescent="0.2">
      <c r="A6" s="1" t="s">
        <v>204</v>
      </c>
      <c r="B6" s="1" t="s">
        <v>205</v>
      </c>
      <c r="C6" s="1" t="s">
        <v>206</v>
      </c>
      <c r="D6" s="10" t="str">
        <f>VLOOKUP(F6,Format!G:H,2,FALSE)</f>
        <v>Steering Wheel</v>
      </c>
      <c r="E6" s="10" t="str">
        <f>VLOOKUP(H6,Format!G:H,2,FALSE)</f>
        <v>Radio</v>
      </c>
      <c r="F6" s="15" t="s">
        <v>196</v>
      </c>
      <c r="G6" s="11" t="s">
        <v>18</v>
      </c>
      <c r="H6" s="16" t="s">
        <v>12</v>
      </c>
      <c r="I6" s="5" t="s">
        <v>20</v>
      </c>
      <c r="J6" s="5" t="s">
        <v>15</v>
      </c>
      <c r="K6" s="1"/>
      <c r="L6" s="1"/>
      <c r="M6" s="1"/>
      <c r="N6" s="1"/>
      <c r="O6" s="1"/>
      <c r="P6" s="1"/>
      <c r="Q6" s="5"/>
      <c r="R6" s="1"/>
      <c r="S6" s="1"/>
      <c r="T6" s="1"/>
      <c r="U6" s="1"/>
      <c r="V6" s="1"/>
      <c r="W6" s="1"/>
      <c r="X6" s="1"/>
      <c r="Y6" s="1"/>
      <c r="Z6" s="1"/>
      <c r="AA6" s="1"/>
      <c r="AB6" s="1"/>
      <c r="AC6" s="1"/>
      <c r="AD6" s="1"/>
      <c r="AE6" s="1"/>
    </row>
    <row r="7" spans="1:40" ht="12.75" customHeight="1" x14ac:dyDescent="0.2">
      <c r="A7" s="1" t="s">
        <v>207</v>
      </c>
      <c r="B7" s="1" t="s">
        <v>208</v>
      </c>
      <c r="C7" s="1" t="s">
        <v>209</v>
      </c>
      <c r="D7" s="10" t="str">
        <f>VLOOKUP(F7,Format!G:H,2,FALSE)</f>
        <v>Steering Wheel</v>
      </c>
      <c r="E7" s="10" t="str">
        <f>VLOOKUP(H7,Format!G:H,2,FALSE)</f>
        <v>Tel</v>
      </c>
      <c r="F7" s="15" t="s">
        <v>196</v>
      </c>
      <c r="G7" s="11" t="s">
        <v>18</v>
      </c>
      <c r="H7" s="16" t="s">
        <v>210</v>
      </c>
      <c r="I7" s="5" t="s">
        <v>20</v>
      </c>
      <c r="J7" s="5" t="s">
        <v>166</v>
      </c>
      <c r="K7" s="1"/>
      <c r="L7" s="1"/>
      <c r="M7" s="1"/>
      <c r="N7" s="1"/>
      <c r="O7" s="1"/>
      <c r="P7" s="1"/>
      <c r="Q7" s="5"/>
      <c r="R7" s="1"/>
      <c r="S7" s="1"/>
      <c r="T7" s="1"/>
      <c r="U7" s="1"/>
      <c r="V7" s="1"/>
      <c r="W7" s="1"/>
      <c r="X7" s="1"/>
      <c r="Y7" s="1"/>
      <c r="Z7" s="1"/>
      <c r="AA7" s="1"/>
      <c r="AB7" s="1"/>
      <c r="AC7" s="1"/>
      <c r="AD7" s="1"/>
      <c r="AE7" s="1"/>
    </row>
    <row r="8" spans="1:40" ht="12.75" customHeight="1" x14ac:dyDescent="0.2">
      <c r="A8" s="1" t="s">
        <v>211</v>
      </c>
      <c r="B8" s="1" t="s">
        <v>212</v>
      </c>
      <c r="C8" s="1" t="s">
        <v>213</v>
      </c>
      <c r="D8" s="10" t="str">
        <f>VLOOKUP(F8,Format!G:H,2,FALSE)</f>
        <v>Steering Wheel</v>
      </c>
      <c r="E8" s="10" t="str">
        <f>VLOOKUP(H8,Format!G:H,2,FALSE)</f>
        <v>Tel</v>
      </c>
      <c r="F8" s="15" t="s">
        <v>196</v>
      </c>
      <c r="G8" s="11" t="s">
        <v>18</v>
      </c>
      <c r="H8" s="16" t="s">
        <v>210</v>
      </c>
      <c r="I8" s="5" t="s">
        <v>20</v>
      </c>
      <c r="J8" s="5" t="s">
        <v>214</v>
      </c>
      <c r="K8" s="1"/>
      <c r="L8" s="1"/>
      <c r="M8" s="1"/>
      <c r="N8" s="1"/>
      <c r="O8" s="1"/>
      <c r="P8" s="1"/>
      <c r="Q8" s="5"/>
      <c r="R8" s="1"/>
      <c r="S8" s="1"/>
      <c r="T8" s="1"/>
      <c r="U8" s="1"/>
      <c r="V8" s="1"/>
      <c r="W8" s="1"/>
      <c r="X8" s="1"/>
      <c r="Y8" s="1"/>
      <c r="Z8" s="1"/>
      <c r="AA8" s="1"/>
      <c r="AB8" s="1"/>
      <c r="AC8" s="1"/>
      <c r="AD8" s="1"/>
      <c r="AE8" s="1"/>
    </row>
    <row r="9" spans="1:40" ht="12.75" customHeight="1" x14ac:dyDescent="0.2">
      <c r="A9" s="1"/>
      <c r="B9" s="1"/>
      <c r="C9" s="1"/>
      <c r="D9" s="1"/>
      <c r="E9" s="1"/>
      <c r="F9" s="1"/>
      <c r="G9" s="1"/>
      <c r="H9" s="1"/>
      <c r="I9" s="1"/>
      <c r="J9" s="1"/>
      <c r="K9" s="1"/>
      <c r="L9" s="1"/>
      <c r="M9" s="1"/>
      <c r="N9" s="1"/>
      <c r="O9" s="1"/>
      <c r="P9" s="1"/>
      <c r="Q9" s="5"/>
      <c r="R9" s="1"/>
      <c r="S9" s="1"/>
      <c r="T9" s="1"/>
      <c r="U9" s="1"/>
      <c r="V9" s="1"/>
      <c r="W9" s="1"/>
      <c r="X9" s="1"/>
      <c r="Y9" s="1"/>
      <c r="Z9" s="1"/>
      <c r="AA9" s="1"/>
      <c r="AB9" s="1"/>
      <c r="AC9" s="1"/>
      <c r="AD9" s="1"/>
      <c r="AE9" s="1"/>
    </row>
    <row r="10" spans="1:40" ht="15.75" customHeight="1" x14ac:dyDescent="0.25">
      <c r="A10" s="1" t="s">
        <v>215</v>
      </c>
      <c r="B10" s="6" t="s">
        <v>216</v>
      </c>
      <c r="C10" s="1"/>
      <c r="D10" s="1"/>
      <c r="E10" s="1"/>
      <c r="F10" s="1"/>
      <c r="G10" s="1"/>
      <c r="H10" s="1"/>
      <c r="I10" s="1"/>
      <c r="J10" s="1"/>
      <c r="K10" s="1"/>
      <c r="L10" s="1"/>
      <c r="M10" s="1"/>
      <c r="N10" s="1"/>
      <c r="O10" s="1"/>
      <c r="P10" s="1"/>
      <c r="Q10" s="5"/>
      <c r="R10" s="1"/>
      <c r="S10" s="1"/>
      <c r="T10" s="1"/>
      <c r="U10" s="1"/>
      <c r="V10" s="1"/>
      <c r="W10" s="1"/>
      <c r="X10" s="1"/>
      <c r="Y10" s="1"/>
      <c r="Z10" s="1"/>
      <c r="AA10" s="1"/>
      <c r="AB10" s="1"/>
      <c r="AC10" s="1"/>
      <c r="AD10" s="1"/>
      <c r="AE10" s="1"/>
    </row>
    <row r="11" spans="1:40" ht="14.25" customHeight="1" x14ac:dyDescent="0.2">
      <c r="A11" s="1" t="s">
        <v>217</v>
      </c>
      <c r="B11" s="1" t="s">
        <v>218</v>
      </c>
      <c r="C11" s="1" t="s">
        <v>219</v>
      </c>
      <c r="D11" s="10" t="str">
        <f>VLOOKUP(F11,Format!G:H,2,FALSE)</f>
        <v xml:space="preserve">DIS Unknown </v>
      </c>
      <c r="E11" s="10" t="str">
        <f>VLOOKUP(H11,Format!G:H,2,FALSE)</f>
        <v>General news 1</v>
      </c>
      <c r="F11" s="15" t="s">
        <v>103</v>
      </c>
      <c r="G11" s="11" t="s">
        <v>25</v>
      </c>
      <c r="H11" s="16" t="s">
        <v>21</v>
      </c>
      <c r="I11" s="5" t="s">
        <v>80</v>
      </c>
      <c r="J11" s="5" t="s">
        <v>128</v>
      </c>
      <c r="K11" s="5" t="s">
        <v>15</v>
      </c>
      <c r="L11" s="1"/>
      <c r="M11" s="1"/>
      <c r="N11" s="1"/>
      <c r="O11" s="1"/>
      <c r="P11" s="50" t="s">
        <v>220</v>
      </c>
      <c r="Q11" s="5"/>
      <c r="R11" s="1"/>
      <c r="S11" s="1"/>
      <c r="T11" s="1"/>
      <c r="U11" s="1"/>
      <c r="V11" s="1"/>
      <c r="W11" s="1"/>
      <c r="X11" s="1"/>
      <c r="Y11" s="1"/>
      <c r="Z11" s="1"/>
      <c r="AA11" s="1"/>
      <c r="AB11" s="1"/>
      <c r="AC11" s="1"/>
      <c r="AD11" s="1"/>
      <c r="AE11" s="1"/>
    </row>
    <row r="12" spans="1:40" ht="14.25" customHeight="1" x14ac:dyDescent="0.2">
      <c r="A12" s="1" t="s">
        <v>221</v>
      </c>
      <c r="B12" s="1" t="s">
        <v>222</v>
      </c>
      <c r="C12" s="1" t="s">
        <v>223</v>
      </c>
      <c r="D12" s="10" t="str">
        <f>VLOOKUP(F12,Format!G:H,2,FALSE)</f>
        <v xml:space="preserve">DIS Unknown </v>
      </c>
      <c r="E12" s="10" t="str">
        <f>VLOOKUP(H12,Format!G:H,2,FALSE)</f>
        <v>General news 1</v>
      </c>
      <c r="F12" s="15" t="s">
        <v>103</v>
      </c>
      <c r="G12" s="11" t="s">
        <v>25</v>
      </c>
      <c r="H12" s="16" t="s">
        <v>21</v>
      </c>
      <c r="I12" s="5" t="s">
        <v>80</v>
      </c>
      <c r="J12" s="5" t="s">
        <v>224</v>
      </c>
      <c r="K12" s="5" t="s">
        <v>15</v>
      </c>
      <c r="L12" s="1"/>
      <c r="M12" s="1"/>
      <c r="N12" s="1"/>
      <c r="O12" s="1"/>
      <c r="P12" s="1" t="s">
        <v>225</v>
      </c>
      <c r="Q12" s="1"/>
      <c r="R12" s="1"/>
      <c r="S12" s="1"/>
      <c r="T12" s="1"/>
      <c r="U12" s="1"/>
      <c r="V12" s="1"/>
      <c r="W12" s="1"/>
      <c r="X12" s="1"/>
      <c r="Y12" s="1"/>
      <c r="Z12" s="1"/>
      <c r="AA12" s="1"/>
      <c r="AB12" s="1"/>
      <c r="AC12" s="1"/>
      <c r="AD12" s="1"/>
      <c r="AE12" s="1"/>
      <c r="AJ12" t="str">
        <f>RIGHT(LEFT(P12,19),2)</f>
        <v>44</v>
      </c>
      <c r="AK12" t="str">
        <f>HEX2BIN(AJ12,8)</f>
        <v>01000100</v>
      </c>
      <c r="AL12">
        <v>1001100</v>
      </c>
      <c r="AM12" t="str">
        <f>BIN2HEX(AL12,8)</f>
        <v>0000004C</v>
      </c>
      <c r="AN12">
        <v>34</v>
      </c>
    </row>
    <row r="13" spans="1:40" ht="14.25" customHeight="1" x14ac:dyDescent="0.2">
      <c r="A13" s="1" t="s">
        <v>226</v>
      </c>
      <c r="B13" s="1" t="s">
        <v>227</v>
      </c>
      <c r="C13" s="1" t="s">
        <v>228</v>
      </c>
      <c r="D13" s="10" t="str">
        <f>VLOOKUP(F13,Format!G:H,2,FALSE)</f>
        <v xml:space="preserve">DIS Unknown </v>
      </c>
      <c r="E13" s="10" t="str">
        <f>VLOOKUP(H13,Format!G:H,2,FALSE)</f>
        <v>General news 1</v>
      </c>
      <c r="F13" s="15" t="s">
        <v>103</v>
      </c>
      <c r="G13" s="11" t="s">
        <v>25</v>
      </c>
      <c r="H13" s="16" t="s">
        <v>21</v>
      </c>
      <c r="I13" s="5" t="s">
        <v>80</v>
      </c>
      <c r="J13" s="5" t="s">
        <v>229</v>
      </c>
      <c r="K13" s="5" t="s">
        <v>15</v>
      </c>
      <c r="L13" s="1"/>
      <c r="M13" s="1"/>
      <c r="N13" s="1"/>
      <c r="O13" s="1"/>
      <c r="P13" s="1" t="s">
        <v>230</v>
      </c>
      <c r="Q13" s="1"/>
      <c r="R13" s="1"/>
      <c r="S13" s="1"/>
      <c r="T13" s="1"/>
      <c r="U13" s="1"/>
      <c r="V13" s="1"/>
      <c r="W13" s="1"/>
      <c r="X13" s="1"/>
      <c r="Y13" s="1"/>
      <c r="Z13" s="1"/>
      <c r="AA13" s="1"/>
      <c r="AB13" s="1"/>
      <c r="AC13" s="1"/>
      <c r="AD13" s="1"/>
      <c r="AE13" s="1"/>
      <c r="AJ13" t="str">
        <f t="shared" ref="AJ13:AJ25" si="0">RIGHT(LEFT(P13,19),2)</f>
        <v>45</v>
      </c>
      <c r="AK13" t="str">
        <f t="shared" ref="AK13:AL25" si="1">HEX2BIN(AJ13,8)</f>
        <v>01000101</v>
      </c>
      <c r="AL13">
        <v>1001001</v>
      </c>
      <c r="AM13" t="str">
        <f t="shared" ref="AM13:AN15" si="2">BIN2HEX(AL13,8)</f>
        <v>00000049</v>
      </c>
      <c r="AN13">
        <v>35</v>
      </c>
    </row>
    <row r="14" spans="1:40" ht="14.25" customHeight="1" x14ac:dyDescent="0.2">
      <c r="A14" s="1" t="s">
        <v>231</v>
      </c>
      <c r="B14" s="1" t="s">
        <v>232</v>
      </c>
      <c r="C14" s="1" t="s">
        <v>233</v>
      </c>
      <c r="D14" s="10" t="str">
        <f>VLOOKUP(F14,Format!G:H,2,FALSE)</f>
        <v xml:space="preserve">DIS Unknown </v>
      </c>
      <c r="E14" s="10" t="str">
        <f>VLOOKUP(H14,Format!G:H,2,FALSE)</f>
        <v>General news 1</v>
      </c>
      <c r="F14" s="15" t="s">
        <v>103</v>
      </c>
      <c r="G14" s="11" t="s">
        <v>25</v>
      </c>
      <c r="H14" s="16" t="s">
        <v>21</v>
      </c>
      <c r="I14" s="5" t="s">
        <v>80</v>
      </c>
      <c r="J14" s="5" t="s">
        <v>234</v>
      </c>
      <c r="K14" s="5" t="s">
        <v>15</v>
      </c>
      <c r="L14" s="1"/>
      <c r="M14" s="1"/>
      <c r="N14" s="1"/>
      <c r="O14" s="1"/>
      <c r="P14" s="1" t="s">
        <v>235</v>
      </c>
      <c r="Q14" s="1"/>
      <c r="R14" s="1"/>
      <c r="S14" s="1"/>
      <c r="T14" s="1"/>
      <c r="U14" s="1"/>
      <c r="V14" s="1"/>
      <c r="W14" s="1"/>
      <c r="X14" s="1"/>
      <c r="Y14" s="1"/>
      <c r="Z14" s="1"/>
      <c r="AA14" s="1"/>
      <c r="AB14" s="1"/>
      <c r="AC14" s="1"/>
      <c r="AD14" s="1"/>
      <c r="AE14" s="1"/>
      <c r="AJ14" t="str">
        <f t="shared" si="0"/>
        <v>46</v>
      </c>
      <c r="AK14" t="str">
        <f t="shared" si="1"/>
        <v>01000110</v>
      </c>
      <c r="AL14">
        <v>1001010</v>
      </c>
      <c r="AM14" t="str">
        <f t="shared" si="2"/>
        <v>0000004A</v>
      </c>
      <c r="AN14">
        <v>36</v>
      </c>
    </row>
    <row r="15" spans="1:40" ht="14.25" customHeight="1" x14ac:dyDescent="0.2">
      <c r="A15" s="1" t="s">
        <v>236</v>
      </c>
      <c r="B15" s="1" t="s">
        <v>237</v>
      </c>
      <c r="C15" s="1" t="s">
        <v>238</v>
      </c>
      <c r="D15" s="10" t="str">
        <f>VLOOKUP(F15,Format!G:H,2,FALSE)</f>
        <v xml:space="preserve">DIS Unknown </v>
      </c>
      <c r="E15" s="10" t="str">
        <f>VLOOKUP(H15,Format!G:H,2,FALSE)</f>
        <v>General news 1</v>
      </c>
      <c r="F15" s="15" t="s">
        <v>103</v>
      </c>
      <c r="G15" s="11" t="s">
        <v>25</v>
      </c>
      <c r="H15" s="16" t="s">
        <v>21</v>
      </c>
      <c r="I15" s="5" t="s">
        <v>80</v>
      </c>
      <c r="J15" s="5" t="s">
        <v>239</v>
      </c>
      <c r="K15" s="5" t="s">
        <v>15</v>
      </c>
      <c r="L15" s="1"/>
      <c r="M15" s="1"/>
      <c r="N15" s="1"/>
      <c r="O15" s="1"/>
      <c r="P15" s="1" t="s">
        <v>240</v>
      </c>
      <c r="Q15" s="1"/>
      <c r="R15" s="1"/>
      <c r="S15" s="1"/>
      <c r="T15" s="1"/>
      <c r="U15" s="1"/>
      <c r="V15" s="1"/>
      <c r="W15" s="1"/>
      <c r="X15" s="1"/>
      <c r="Y15" s="1"/>
      <c r="Z15" s="1"/>
      <c r="AA15" s="1"/>
      <c r="AB15" s="1"/>
      <c r="AC15" s="1"/>
      <c r="AD15" s="1"/>
      <c r="AE15" s="1"/>
      <c r="AJ15" t="str">
        <f t="shared" si="0"/>
        <v>47</v>
      </c>
      <c r="AK15" t="str">
        <f t="shared" si="1"/>
        <v>01000111</v>
      </c>
      <c r="AL15">
        <v>1001011</v>
      </c>
      <c r="AM15" t="str">
        <f t="shared" si="2"/>
        <v>0000004B</v>
      </c>
      <c r="AN15">
        <v>37</v>
      </c>
    </row>
    <row r="16" spans="1:40" ht="14.25" customHeight="1" x14ac:dyDescent="0.2">
      <c r="A16" s="1" t="s">
        <v>241</v>
      </c>
      <c r="B16" s="1" t="s">
        <v>242</v>
      </c>
      <c r="C16" s="1" t="s">
        <v>243</v>
      </c>
      <c r="D16" s="10" t="str">
        <f>VLOOKUP(F16,Format!G:H,2,FALSE)</f>
        <v xml:space="preserve">DIS Unknown </v>
      </c>
      <c r="E16" s="10" t="str">
        <f>VLOOKUP(H16,Format!G:H,2,FALSE)</f>
        <v>General news 1</v>
      </c>
      <c r="F16" s="15" t="s">
        <v>103</v>
      </c>
      <c r="G16" s="11" t="s">
        <v>25</v>
      </c>
      <c r="H16" s="16" t="s">
        <v>21</v>
      </c>
      <c r="I16" s="5" t="s">
        <v>80</v>
      </c>
      <c r="J16" s="5" t="s">
        <v>244</v>
      </c>
      <c r="K16" s="5" t="s">
        <v>15</v>
      </c>
      <c r="L16" s="1"/>
      <c r="M16" s="1"/>
      <c r="N16" s="1"/>
      <c r="O16" s="1"/>
      <c r="P16" s="1" t="s">
        <v>245</v>
      </c>
      <c r="Q16" s="1"/>
      <c r="R16" s="1"/>
      <c r="S16" s="1"/>
      <c r="T16" s="1"/>
      <c r="U16" s="1"/>
      <c r="V16" s="1"/>
      <c r="W16" s="1"/>
      <c r="X16" s="1"/>
      <c r="Y16" s="1"/>
      <c r="Z16" s="1"/>
      <c r="AA16" s="1"/>
      <c r="AB16" s="1"/>
      <c r="AC16" s="1"/>
      <c r="AD16" s="1"/>
      <c r="AE16" s="1"/>
      <c r="AJ16" t="str">
        <f t="shared" si="0"/>
        <v>65</v>
      </c>
      <c r="AK16" t="str">
        <f t="shared" si="1"/>
        <v>01100101</v>
      </c>
    </row>
    <row r="17" spans="1:37" ht="14.25" customHeight="1" x14ac:dyDescent="0.2">
      <c r="A17" s="1" t="s">
        <v>246</v>
      </c>
      <c r="B17" s="1" t="s">
        <v>247</v>
      </c>
      <c r="C17" s="1" t="s">
        <v>248</v>
      </c>
      <c r="D17" s="10" t="str">
        <f>VLOOKUP(F17,Format!G:H,2,FALSE)</f>
        <v xml:space="preserve">DIS Unknown </v>
      </c>
      <c r="E17" s="10" t="str">
        <f>VLOOKUP(H17,Format!G:H,2,FALSE)</f>
        <v>General news 1</v>
      </c>
      <c r="F17" s="15" t="s">
        <v>103</v>
      </c>
      <c r="G17" s="11" t="s">
        <v>25</v>
      </c>
      <c r="H17" s="16" t="s">
        <v>21</v>
      </c>
      <c r="I17" s="5" t="s">
        <v>80</v>
      </c>
      <c r="J17" s="5" t="s">
        <v>249</v>
      </c>
      <c r="K17" s="5" t="s">
        <v>15</v>
      </c>
      <c r="L17" s="1"/>
      <c r="M17" s="1"/>
      <c r="N17" s="1"/>
      <c r="O17" s="1"/>
      <c r="P17" s="1" t="s">
        <v>250</v>
      </c>
      <c r="Q17" s="1"/>
      <c r="R17" s="1"/>
      <c r="S17" s="1"/>
      <c r="T17" s="1"/>
      <c r="U17" s="1"/>
      <c r="V17" s="1"/>
      <c r="W17" s="1"/>
      <c r="X17" s="1"/>
      <c r="Y17" s="1"/>
      <c r="Z17" s="1"/>
      <c r="AA17" s="1"/>
      <c r="AB17" s="1"/>
      <c r="AC17" s="1"/>
      <c r="AD17" s="1"/>
      <c r="AE17" s="1"/>
      <c r="AJ17" t="str">
        <f t="shared" si="0"/>
        <v>66</v>
      </c>
      <c r="AK17" t="str">
        <f t="shared" si="1"/>
        <v>01100110</v>
      </c>
    </row>
    <row r="18" spans="1:37" ht="14.25" customHeight="1" x14ac:dyDescent="0.2">
      <c r="A18" s="1" t="s">
        <v>251</v>
      </c>
      <c r="B18" s="1" t="s">
        <v>252</v>
      </c>
      <c r="C18" s="1" t="s">
        <v>253</v>
      </c>
      <c r="D18" s="10" t="str">
        <f>VLOOKUP(F18,Format!G:H,2,FALSE)</f>
        <v xml:space="preserve">DIS Unknown </v>
      </c>
      <c r="E18" s="10" t="str">
        <f>VLOOKUP(H18,Format!G:H,2,FALSE)</f>
        <v>General news 1</v>
      </c>
      <c r="F18" s="15" t="s">
        <v>103</v>
      </c>
      <c r="G18" s="11" t="s">
        <v>25</v>
      </c>
      <c r="H18" s="16" t="s">
        <v>21</v>
      </c>
      <c r="I18" s="5" t="s">
        <v>80</v>
      </c>
      <c r="J18" s="5" t="s">
        <v>254</v>
      </c>
      <c r="K18" s="5" t="s">
        <v>15</v>
      </c>
      <c r="L18" s="1"/>
      <c r="M18" s="1"/>
      <c r="N18" s="1"/>
      <c r="O18" s="1"/>
      <c r="P18" s="1" t="s">
        <v>255</v>
      </c>
      <c r="Q18" s="1"/>
      <c r="R18" s="1"/>
      <c r="S18" s="1"/>
      <c r="T18" s="1"/>
      <c r="U18" s="1"/>
      <c r="V18" s="1"/>
      <c r="W18" s="1"/>
      <c r="X18" s="1"/>
      <c r="Y18" s="1"/>
      <c r="Z18" s="1"/>
      <c r="AA18" s="1"/>
      <c r="AB18" s="1"/>
      <c r="AC18" s="1"/>
      <c r="AD18" s="1"/>
      <c r="AE18" s="1"/>
      <c r="AJ18" t="str">
        <f t="shared" si="0"/>
        <v>0B</v>
      </c>
      <c r="AK18" t="str">
        <f t="shared" si="1"/>
        <v>00001011</v>
      </c>
    </row>
    <row r="19" spans="1:37" ht="14.25" customHeight="1" x14ac:dyDescent="0.2">
      <c r="A19" s="1"/>
      <c r="B19" s="1"/>
      <c r="C19" s="1"/>
      <c r="D19" s="1"/>
      <c r="E19" s="1"/>
      <c r="F19" s="1"/>
      <c r="G19" s="1"/>
      <c r="H19" s="1"/>
      <c r="I19" s="1"/>
      <c r="J19" s="1"/>
      <c r="K19" s="1"/>
      <c r="L19" s="1"/>
      <c r="M19" s="1"/>
      <c r="N19" s="1"/>
      <c r="O19" s="1"/>
      <c r="P19" s="1" t="s">
        <v>256</v>
      </c>
      <c r="Q19" s="1"/>
      <c r="R19" s="1"/>
      <c r="S19" s="1"/>
      <c r="T19" s="1"/>
      <c r="U19" s="1"/>
      <c r="V19" s="1"/>
      <c r="W19" s="1"/>
      <c r="X19" s="1"/>
      <c r="Y19" s="1"/>
      <c r="Z19" s="1"/>
      <c r="AA19" s="1"/>
      <c r="AB19" s="1"/>
      <c r="AC19" s="1"/>
      <c r="AD19" s="1"/>
      <c r="AE19" s="1"/>
      <c r="AJ19" t="str">
        <f t="shared" si="0"/>
        <v>40</v>
      </c>
      <c r="AK19" t="str">
        <f t="shared" si="1"/>
        <v>01000000</v>
      </c>
    </row>
    <row r="20" spans="1:37" ht="14.25" customHeight="1" x14ac:dyDescent="0.2">
      <c r="A20" s="1" t="s">
        <v>257</v>
      </c>
      <c r="B20" s="1" t="s">
        <v>258</v>
      </c>
      <c r="C20" s="1" t="s">
        <v>259</v>
      </c>
      <c r="D20" s="10" t="str">
        <f>VLOOKUP(F20,Format!G:H,2,FALSE)</f>
        <v xml:space="preserve">DIS Unknown </v>
      </c>
      <c r="E20" s="10" t="str">
        <f>VLOOKUP(H20,Format!G:H,2,FALSE)</f>
        <v>General news 1</v>
      </c>
      <c r="F20" s="15" t="s">
        <v>103</v>
      </c>
      <c r="G20" s="11" t="s">
        <v>25</v>
      </c>
      <c r="H20" s="16" t="s">
        <v>21</v>
      </c>
      <c r="I20" s="5" t="s">
        <v>80</v>
      </c>
      <c r="J20" s="5" t="s">
        <v>260</v>
      </c>
      <c r="K20" s="5" t="s">
        <v>15</v>
      </c>
      <c r="L20" s="1"/>
      <c r="M20" s="1"/>
      <c r="N20" s="1"/>
      <c r="O20" s="1"/>
      <c r="P20" s="1" t="s">
        <v>261</v>
      </c>
      <c r="Q20" s="1"/>
      <c r="R20" s="1"/>
      <c r="S20" s="1"/>
      <c r="T20" s="1"/>
      <c r="U20" s="1"/>
      <c r="V20" s="1"/>
      <c r="W20" s="1"/>
      <c r="X20" s="1"/>
      <c r="Y20" s="1"/>
      <c r="Z20" s="1"/>
      <c r="AA20" s="1"/>
      <c r="AB20" s="1"/>
      <c r="AC20" s="1"/>
      <c r="AD20" s="1"/>
      <c r="AE20" s="1"/>
      <c r="AJ20" t="str">
        <f t="shared" si="0"/>
        <v>00</v>
      </c>
      <c r="AK20" t="str">
        <f t="shared" si="1"/>
        <v>00000000</v>
      </c>
    </row>
    <row r="21" spans="1:37" ht="14.25" customHeight="1" x14ac:dyDescent="0.2">
      <c r="A21" s="1" t="s">
        <v>262</v>
      </c>
      <c r="B21" s="1" t="s">
        <v>263</v>
      </c>
      <c r="C21" s="1" t="s">
        <v>264</v>
      </c>
      <c r="D21" s="10" t="str">
        <f>VLOOKUP(F21,Format!G:H,2,FALSE)</f>
        <v xml:space="preserve">DIS Unknown </v>
      </c>
      <c r="E21" s="10" t="str">
        <f>VLOOKUP(H21,Format!G:H,2,FALSE)</f>
        <v>General news 1</v>
      </c>
      <c r="F21" s="15" t="s">
        <v>103</v>
      </c>
      <c r="G21" s="11" t="s">
        <v>25</v>
      </c>
      <c r="H21" s="16" t="s">
        <v>21</v>
      </c>
      <c r="I21" s="5" t="s">
        <v>80</v>
      </c>
      <c r="J21" s="5" t="s">
        <v>265</v>
      </c>
      <c r="K21" s="5" t="s">
        <v>15</v>
      </c>
      <c r="L21" s="1"/>
      <c r="M21" s="1"/>
      <c r="N21" s="1"/>
      <c r="O21" s="1"/>
      <c r="P21" s="1" t="s">
        <v>266</v>
      </c>
      <c r="Q21" s="1"/>
      <c r="R21" s="1"/>
      <c r="S21" s="1"/>
      <c r="T21" s="1"/>
      <c r="U21" s="1"/>
      <c r="V21" s="1"/>
      <c r="W21" s="1"/>
      <c r="X21" s="1"/>
      <c r="Y21" s="1"/>
      <c r="Z21" s="1"/>
      <c r="AA21" s="1"/>
      <c r="AB21" s="1"/>
      <c r="AC21" s="1"/>
      <c r="AD21" s="1"/>
      <c r="AE21" s="1"/>
      <c r="AJ21" t="str">
        <f t="shared" si="0"/>
        <v>01</v>
      </c>
      <c r="AK21" t="str">
        <f t="shared" si="1"/>
        <v>00000001</v>
      </c>
    </row>
    <row r="22" spans="1:37" ht="14.25" customHeight="1" x14ac:dyDescent="0.2">
      <c r="A22" s="1"/>
      <c r="B22" s="1"/>
      <c r="C22" s="1"/>
      <c r="D22" s="1"/>
      <c r="E22" s="1"/>
      <c r="F22" s="1"/>
      <c r="G22" s="1"/>
      <c r="H22" s="1"/>
      <c r="I22" s="1"/>
      <c r="J22" s="1"/>
      <c r="K22" s="1"/>
      <c r="L22" s="1"/>
      <c r="M22" s="1"/>
      <c r="N22" s="1"/>
      <c r="O22" s="1"/>
      <c r="P22" s="1" t="s">
        <v>267</v>
      </c>
      <c r="Q22" s="1"/>
      <c r="R22" s="1"/>
      <c r="S22" s="1"/>
      <c r="T22" s="1"/>
      <c r="U22" s="1"/>
      <c r="V22" s="1"/>
      <c r="W22" s="1"/>
      <c r="X22" s="1"/>
      <c r="Y22" s="1"/>
      <c r="Z22" s="1"/>
      <c r="AA22" s="1"/>
      <c r="AB22" s="1"/>
      <c r="AC22" s="1"/>
      <c r="AD22" s="1"/>
      <c r="AE22" s="1"/>
      <c r="AJ22" t="str">
        <f t="shared" si="0"/>
        <v>31</v>
      </c>
      <c r="AK22" t="str">
        <f t="shared" si="1"/>
        <v>00110001</v>
      </c>
    </row>
    <row r="23" spans="1:37" ht="14.25" customHeight="1" x14ac:dyDescent="0.2">
      <c r="A23" s="1" t="s">
        <v>268</v>
      </c>
      <c r="B23" s="1" t="s">
        <v>269</v>
      </c>
      <c r="C23" s="1" t="s">
        <v>270</v>
      </c>
      <c r="D23" s="10" t="str">
        <f>VLOOKUP(F23,Format!G:H,2,FALSE)</f>
        <v xml:space="preserve">DIS Unknown </v>
      </c>
      <c r="E23" s="10" t="str">
        <f>VLOOKUP(H23,Format!G:H,2,FALSE)</f>
        <v>General news 1</v>
      </c>
      <c r="F23" s="15" t="s">
        <v>103</v>
      </c>
      <c r="G23" s="11" t="s">
        <v>46</v>
      </c>
      <c r="H23" s="16" t="s">
        <v>21</v>
      </c>
      <c r="I23" s="5" t="s">
        <v>80</v>
      </c>
      <c r="J23" s="5" t="s">
        <v>15</v>
      </c>
      <c r="K23" s="5" t="s">
        <v>271</v>
      </c>
      <c r="L23" s="5" t="s">
        <v>15</v>
      </c>
      <c r="M23" s="1"/>
      <c r="N23" s="1"/>
      <c r="O23" s="1"/>
      <c r="P23" s="1" t="s">
        <v>272</v>
      </c>
      <c r="Q23" s="1"/>
      <c r="R23" s="1"/>
      <c r="S23" s="1"/>
      <c r="T23" s="1"/>
      <c r="U23" s="1"/>
      <c r="V23" s="1"/>
      <c r="W23" s="1"/>
      <c r="X23" s="1"/>
      <c r="Y23" s="1"/>
      <c r="Z23" s="1"/>
      <c r="AA23" s="1"/>
      <c r="AB23" s="1"/>
      <c r="AC23" s="1"/>
      <c r="AD23" s="1"/>
      <c r="AE23" s="1"/>
      <c r="AJ23" t="str">
        <f t="shared" si="0"/>
        <v>30</v>
      </c>
      <c r="AK23" t="str">
        <f t="shared" si="1"/>
        <v>00110000</v>
      </c>
    </row>
    <row r="24" spans="1:37" ht="14.25" customHeight="1" x14ac:dyDescent="0.2">
      <c r="A24" s="1" t="s">
        <v>273</v>
      </c>
      <c r="B24" s="1" t="s">
        <v>274</v>
      </c>
      <c r="C24" s="1" t="s">
        <v>275</v>
      </c>
      <c r="D24" s="10" t="str">
        <f>VLOOKUP(F24,Format!G:H,2,FALSE)</f>
        <v xml:space="preserve">DIS Unknown </v>
      </c>
      <c r="E24" s="10" t="str">
        <f>VLOOKUP(H24,Format!G:H,2,FALSE)</f>
        <v>General news 1</v>
      </c>
      <c r="F24" s="15" t="s">
        <v>103</v>
      </c>
      <c r="G24" s="11" t="s">
        <v>46</v>
      </c>
      <c r="H24" s="16" t="s">
        <v>21</v>
      </c>
      <c r="I24" s="5" t="s">
        <v>80</v>
      </c>
      <c r="J24" s="5" t="s">
        <v>15</v>
      </c>
      <c r="K24" s="5" t="s">
        <v>130</v>
      </c>
      <c r="L24" s="5" t="s">
        <v>15</v>
      </c>
      <c r="M24" s="1"/>
      <c r="N24" s="1"/>
      <c r="O24" s="1"/>
      <c r="P24" s="1" t="s">
        <v>276</v>
      </c>
      <c r="Q24" s="1"/>
      <c r="R24" s="1"/>
      <c r="S24" s="1"/>
      <c r="T24" s="1"/>
      <c r="U24" s="1"/>
      <c r="V24" s="1"/>
      <c r="W24" s="1"/>
      <c r="X24" s="1"/>
      <c r="Y24" s="1"/>
      <c r="Z24" s="1"/>
      <c r="AA24" s="1"/>
      <c r="AB24" s="1"/>
      <c r="AC24" s="1"/>
      <c r="AD24" s="1"/>
      <c r="AE24" s="1"/>
      <c r="AJ24" t="str">
        <f t="shared" si="0"/>
        <v>31</v>
      </c>
      <c r="AK24" t="str">
        <f t="shared" si="1"/>
        <v>00110001</v>
      </c>
    </row>
    <row r="25" spans="1:37" ht="14.25" customHeight="1" x14ac:dyDescent="0.2">
      <c r="A25" s="1" t="s">
        <v>277</v>
      </c>
      <c r="B25" s="1" t="s">
        <v>278</v>
      </c>
      <c r="C25" s="1" t="s">
        <v>279</v>
      </c>
      <c r="D25" s="10" t="str">
        <f>VLOOKUP(F25,Format!G:H,2,FALSE)</f>
        <v xml:space="preserve">DIS Unknown </v>
      </c>
      <c r="E25" s="10" t="str">
        <f>VLOOKUP(H25,Format!G:H,2,FALSE)</f>
        <v>General news 1</v>
      </c>
      <c r="F25" s="15" t="s">
        <v>103</v>
      </c>
      <c r="G25" s="11" t="s">
        <v>46</v>
      </c>
      <c r="H25" s="16" t="s">
        <v>21</v>
      </c>
      <c r="I25" s="5" t="s">
        <v>80</v>
      </c>
      <c r="J25" s="5" t="s">
        <v>35</v>
      </c>
      <c r="K25" s="5" t="s">
        <v>271</v>
      </c>
      <c r="L25" s="5" t="s">
        <v>15</v>
      </c>
      <c r="M25" s="1"/>
      <c r="N25" s="1"/>
      <c r="O25" s="1"/>
      <c r="P25" s="1" t="s">
        <v>280</v>
      </c>
      <c r="Q25" s="1"/>
      <c r="R25" s="1"/>
      <c r="S25" s="1"/>
      <c r="T25" s="1"/>
      <c r="U25" s="1"/>
      <c r="V25" s="1"/>
      <c r="W25" s="1"/>
      <c r="X25" s="1"/>
      <c r="Y25" s="1"/>
      <c r="Z25" s="1"/>
      <c r="AA25" s="1"/>
      <c r="AB25" s="1"/>
      <c r="AC25" s="1"/>
      <c r="AD25" s="1"/>
      <c r="AE25" s="1"/>
      <c r="AJ25" t="str">
        <f t="shared" si="0"/>
        <v>30</v>
      </c>
      <c r="AK25" t="str">
        <f t="shared" si="1"/>
        <v>00110000</v>
      </c>
    </row>
    <row r="26" spans="1:37" ht="12.75" customHeight="1" x14ac:dyDescent="0.2">
      <c r="A26" s="1" t="s">
        <v>281</v>
      </c>
      <c r="B26" s="1" t="s">
        <v>282</v>
      </c>
      <c r="C26" s="1" t="s">
        <v>283</v>
      </c>
      <c r="D26" s="10" t="str">
        <f>VLOOKUP(F26,Format!G:H,2,FALSE)</f>
        <v xml:space="preserve">DIS Unknown </v>
      </c>
      <c r="E26" s="10" t="str">
        <f>VLOOKUP(H26,Format!G:H,2,FALSE)</f>
        <v>General news 1</v>
      </c>
      <c r="F26" s="15" t="s">
        <v>103</v>
      </c>
      <c r="G26" s="11" t="s">
        <v>46</v>
      </c>
      <c r="H26" s="16" t="s">
        <v>21</v>
      </c>
      <c r="I26" s="5" t="s">
        <v>80</v>
      </c>
      <c r="J26" s="5" t="s">
        <v>35</v>
      </c>
      <c r="K26" s="5" t="s">
        <v>130</v>
      </c>
      <c r="L26" s="5" t="s">
        <v>15</v>
      </c>
      <c r="M26" s="1"/>
      <c r="N26" s="1"/>
      <c r="O26" s="1"/>
      <c r="P26" s="1"/>
      <c r="Q26" s="5"/>
      <c r="R26" s="1"/>
      <c r="S26" s="1"/>
      <c r="T26" s="1"/>
      <c r="U26" s="1"/>
      <c r="V26" s="1"/>
      <c r="W26" s="1"/>
      <c r="X26" s="1"/>
      <c r="Y26" s="1"/>
      <c r="Z26" s="1"/>
      <c r="AA26" s="1"/>
      <c r="AB26" s="1"/>
      <c r="AC26" s="1"/>
      <c r="AD26" s="1"/>
      <c r="AE26" s="1"/>
    </row>
    <row r="27" spans="1:37" ht="12.75" customHeight="1" x14ac:dyDescent="0.2">
      <c r="A27" s="1"/>
      <c r="B27" s="1"/>
      <c r="C27" s="1"/>
      <c r="D27" s="1"/>
      <c r="E27" s="1"/>
      <c r="F27" s="1"/>
      <c r="G27" s="1"/>
      <c r="H27" s="1"/>
      <c r="I27" s="1"/>
      <c r="J27" s="1"/>
      <c r="K27" s="1"/>
      <c r="L27" s="1"/>
      <c r="M27" s="1"/>
      <c r="N27" s="1"/>
      <c r="O27" s="1"/>
      <c r="P27" s="1"/>
      <c r="Q27" s="5"/>
      <c r="R27" s="1"/>
      <c r="S27" s="1"/>
      <c r="T27" s="1"/>
      <c r="U27" s="1"/>
      <c r="V27" s="1"/>
      <c r="W27" s="1"/>
      <c r="X27" s="1"/>
      <c r="Y27" s="1"/>
      <c r="Z27" s="1"/>
      <c r="AA27" s="1"/>
      <c r="AB27" s="1"/>
      <c r="AC27" s="1"/>
      <c r="AD27" s="1"/>
      <c r="AE27" s="1"/>
    </row>
    <row r="28" spans="1:37" ht="15.75" customHeight="1" x14ac:dyDescent="0.25">
      <c r="A28" s="1" t="s">
        <v>284</v>
      </c>
      <c r="B28" s="6" t="s">
        <v>285</v>
      </c>
      <c r="C28" s="1"/>
      <c r="D28" s="1"/>
      <c r="E28" s="1"/>
      <c r="F28" s="1"/>
      <c r="G28" s="1"/>
      <c r="H28" s="1"/>
      <c r="I28" s="1"/>
      <c r="J28" s="1"/>
      <c r="K28" s="1"/>
      <c r="L28" s="1"/>
      <c r="M28" s="1"/>
      <c r="N28" s="1"/>
      <c r="O28" s="1"/>
      <c r="P28" s="1"/>
      <c r="Q28" s="5"/>
      <c r="R28" s="1"/>
      <c r="S28" s="1"/>
      <c r="T28" s="1"/>
      <c r="U28" s="1"/>
      <c r="V28" s="1"/>
      <c r="W28" s="1"/>
      <c r="X28" s="1"/>
      <c r="Y28" s="1"/>
      <c r="Z28" s="1"/>
      <c r="AA28" s="1"/>
      <c r="AB28" s="1"/>
      <c r="AC28" s="1"/>
      <c r="AD28" s="1"/>
      <c r="AE28" s="1"/>
    </row>
    <row r="29" spans="1:37" ht="12.75" customHeight="1" x14ac:dyDescent="0.2">
      <c r="A29" s="1" t="s">
        <v>286</v>
      </c>
      <c r="B29" s="1" t="s">
        <v>287</v>
      </c>
      <c r="C29" s="1" t="s">
        <v>288</v>
      </c>
      <c r="D29" s="10" t="str">
        <f>VLOOKUP(F29,Format!G:H,2,FALSE)</f>
        <v xml:space="preserve">DIS Unknown </v>
      </c>
      <c r="E29" s="10" t="str">
        <f>VLOOKUP(H29,Format!G:H,2,FALSE)</f>
        <v>General news 1</v>
      </c>
      <c r="F29" s="15" t="s">
        <v>103</v>
      </c>
      <c r="G29" s="11" t="s">
        <v>25</v>
      </c>
      <c r="H29" s="16" t="s">
        <v>21</v>
      </c>
      <c r="I29" s="5" t="s">
        <v>80</v>
      </c>
      <c r="J29" s="5" t="s">
        <v>39</v>
      </c>
      <c r="K29" s="5" t="s">
        <v>15</v>
      </c>
      <c r="L29" s="5"/>
      <c r="M29" s="1"/>
      <c r="N29" s="1"/>
      <c r="O29" s="1"/>
      <c r="P29" s="1"/>
      <c r="Q29" s="5"/>
      <c r="R29" s="1"/>
      <c r="S29" s="1"/>
      <c r="T29" s="1"/>
      <c r="U29" s="1"/>
      <c r="V29" s="1"/>
      <c r="W29" s="1"/>
      <c r="X29" s="1"/>
      <c r="Y29" s="1"/>
      <c r="Z29" s="1"/>
      <c r="AA29" s="1"/>
      <c r="AB29" s="1"/>
      <c r="AC29" s="1"/>
      <c r="AD29" s="1"/>
      <c r="AE29" s="1"/>
      <c r="AG29" t="s">
        <v>1501</v>
      </c>
      <c r="AH29">
        <v>41</v>
      </c>
      <c r="AI29" t="str">
        <f>HEX2BIN(AH29,8)</f>
        <v>01000001</v>
      </c>
    </row>
    <row r="30" spans="1:37" ht="12.75" customHeight="1" x14ac:dyDescent="0.2">
      <c r="A30" s="1" t="s">
        <v>289</v>
      </c>
      <c r="B30" s="1" t="s">
        <v>290</v>
      </c>
      <c r="C30" s="1" t="s">
        <v>291</v>
      </c>
      <c r="D30" s="10" t="str">
        <f>VLOOKUP(F30,Format!G:H,2,FALSE)</f>
        <v xml:space="preserve">DIS Unknown </v>
      </c>
      <c r="E30" s="10" t="str">
        <f>VLOOKUP(H30,Format!G:H,2,FALSE)</f>
        <v>LCM, Global</v>
      </c>
      <c r="F30" s="15" t="s">
        <v>292</v>
      </c>
      <c r="G30" s="11" t="s">
        <v>293</v>
      </c>
      <c r="H30" s="16" t="s">
        <v>294</v>
      </c>
      <c r="I30" s="5" t="s">
        <v>295</v>
      </c>
      <c r="J30" s="5" t="s">
        <v>296</v>
      </c>
      <c r="K30" s="5" t="s">
        <v>21</v>
      </c>
      <c r="L30" s="5" t="s">
        <v>21</v>
      </c>
      <c r="M30" s="5" t="s">
        <v>21</v>
      </c>
      <c r="N30" s="5" t="s">
        <v>21</v>
      </c>
      <c r="O30" s="5" t="s">
        <v>21</v>
      </c>
      <c r="P30" s="5" t="s">
        <v>21</v>
      </c>
      <c r="Q30" s="5" t="s">
        <v>46</v>
      </c>
      <c r="R30" s="1"/>
      <c r="S30" s="1"/>
      <c r="T30" s="1"/>
      <c r="U30" s="1"/>
      <c r="V30" s="1"/>
      <c r="W30" s="1"/>
      <c r="X30" s="1"/>
      <c r="Y30" s="1"/>
      <c r="Z30" s="1"/>
      <c r="AA30" s="1"/>
      <c r="AB30" s="1"/>
      <c r="AC30" s="1"/>
      <c r="AD30" s="1"/>
      <c r="AE30" s="1"/>
      <c r="AG30" t="s">
        <v>1500</v>
      </c>
      <c r="AH30">
        <v>42</v>
      </c>
      <c r="AI30" t="str">
        <f>HEX2BIN(AH30,8)</f>
        <v>01000010</v>
      </c>
    </row>
    <row r="31" spans="1:37" ht="12.75" customHeight="1" x14ac:dyDescent="0.2">
      <c r="A31" s="1" t="s">
        <v>297</v>
      </c>
      <c r="B31" s="1" t="s">
        <v>298</v>
      </c>
      <c r="C31" s="1" t="s">
        <v>299</v>
      </c>
      <c r="D31" s="10" t="str">
        <f>VLOOKUP(F31,Format!G:H,2,FALSE)</f>
        <v xml:space="preserve">DIS Unknown </v>
      </c>
      <c r="E31" s="10" t="str">
        <f>VLOOKUP(H31,Format!G:H,2,FALSE)</f>
        <v>General news 1</v>
      </c>
      <c r="F31" s="15" t="s">
        <v>292</v>
      </c>
      <c r="G31" s="11" t="s">
        <v>25</v>
      </c>
      <c r="H31" s="16" t="s">
        <v>21</v>
      </c>
      <c r="I31" s="5" t="s">
        <v>295</v>
      </c>
      <c r="J31" s="5" t="s">
        <v>132</v>
      </c>
      <c r="K31" s="5" t="s">
        <v>15</v>
      </c>
      <c r="L31" s="1"/>
      <c r="M31" s="1"/>
      <c r="N31" s="1"/>
      <c r="O31" s="1"/>
      <c r="P31" s="1"/>
      <c r="Q31" s="5"/>
      <c r="R31" s="1"/>
      <c r="S31" s="1"/>
      <c r="T31" s="1"/>
      <c r="U31" s="1"/>
      <c r="V31" s="1"/>
      <c r="W31" s="1"/>
      <c r="X31" s="1"/>
      <c r="Y31" s="1"/>
      <c r="Z31" s="1"/>
      <c r="AA31" s="1"/>
      <c r="AB31" s="1"/>
      <c r="AC31" s="1"/>
      <c r="AD31" s="1"/>
      <c r="AE31" s="1"/>
      <c r="AG31" t="s">
        <v>1502</v>
      </c>
      <c r="AH31">
        <v>52</v>
      </c>
      <c r="AI31" t="str">
        <f>HEX2BIN(AH31,8)</f>
        <v>01010010</v>
      </c>
    </row>
    <row r="32" spans="1:37" ht="12.75" customHeight="1" x14ac:dyDescent="0.2">
      <c r="A32" s="1" t="s">
        <v>300</v>
      </c>
      <c r="B32" s="1" t="s">
        <v>301</v>
      </c>
      <c r="C32" s="1" t="s">
        <v>302</v>
      </c>
      <c r="D32" s="10" t="str">
        <f>VLOOKUP(F32,Format!G:H,2,FALSE)</f>
        <v xml:space="preserve">DIS Unknown </v>
      </c>
      <c r="E32" s="10" t="str">
        <f>VLOOKUP(H32,Format!G:H,2,FALSE)</f>
        <v>LCM, Global</v>
      </c>
      <c r="F32" s="15" t="s">
        <v>292</v>
      </c>
      <c r="G32" s="11" t="s">
        <v>293</v>
      </c>
      <c r="H32" s="16" t="s">
        <v>294</v>
      </c>
      <c r="I32" s="5" t="s">
        <v>295</v>
      </c>
      <c r="J32" s="5" t="s">
        <v>21</v>
      </c>
      <c r="K32" s="5" t="s">
        <v>21</v>
      </c>
      <c r="L32" s="5" t="s">
        <v>21</v>
      </c>
      <c r="M32" s="5" t="s">
        <v>166</v>
      </c>
      <c r="N32" s="5" t="s">
        <v>21</v>
      </c>
      <c r="O32" s="5" t="s">
        <v>21</v>
      </c>
      <c r="P32" s="5" t="s">
        <v>21</v>
      </c>
      <c r="Q32" s="5" t="s">
        <v>46</v>
      </c>
      <c r="R32" s="1"/>
      <c r="S32" s="1"/>
      <c r="T32" s="1"/>
      <c r="U32" s="1"/>
      <c r="V32" s="1"/>
      <c r="W32" s="1"/>
      <c r="X32" s="1"/>
      <c r="Y32" s="1"/>
      <c r="Z32" s="1"/>
      <c r="AA32" s="1"/>
      <c r="AB32" s="1"/>
      <c r="AC32" s="1"/>
      <c r="AD32" s="1"/>
      <c r="AE32" s="1"/>
      <c r="AG32" t="s">
        <v>1503</v>
      </c>
      <c r="AH32">
        <v>53</v>
      </c>
      <c r="AI32" t="str">
        <f>HEX2BIN(AH32,8)</f>
        <v>01010011</v>
      </c>
    </row>
    <row r="33" spans="1:31" ht="12.75" customHeight="1" x14ac:dyDescent="0.2">
      <c r="A33" s="1" t="s">
        <v>303</v>
      </c>
      <c r="B33" s="1" t="s">
        <v>304</v>
      </c>
      <c r="C33" s="1" t="s">
        <v>305</v>
      </c>
      <c r="D33" s="10" t="str">
        <f>VLOOKUP(F33,Format!G:H,2,FALSE)</f>
        <v xml:space="preserve">DIS Unknown </v>
      </c>
      <c r="E33" s="10" t="str">
        <f>VLOOKUP(H33,Format!G:H,2,FALSE)</f>
        <v>LCM, Global</v>
      </c>
      <c r="F33" s="15" t="s">
        <v>292</v>
      </c>
      <c r="G33" s="11" t="s">
        <v>293</v>
      </c>
      <c r="H33" s="16" t="s">
        <v>294</v>
      </c>
      <c r="I33" s="5" t="s">
        <v>295</v>
      </c>
      <c r="J33" s="5" t="s">
        <v>21</v>
      </c>
      <c r="K33" s="5" t="s">
        <v>21</v>
      </c>
      <c r="L33" s="5" t="s">
        <v>21</v>
      </c>
      <c r="M33" s="5" t="s">
        <v>214</v>
      </c>
      <c r="N33" s="5" t="s">
        <v>21</v>
      </c>
      <c r="O33" s="5" t="s">
        <v>21</v>
      </c>
      <c r="P33" s="5" t="s">
        <v>21</v>
      </c>
      <c r="Q33" s="5" t="s">
        <v>46</v>
      </c>
      <c r="R33" s="1"/>
      <c r="S33" s="1"/>
      <c r="T33" s="1"/>
      <c r="U33" s="1"/>
      <c r="V33" s="1"/>
      <c r="W33" s="1"/>
      <c r="X33" s="1"/>
      <c r="Y33" s="1"/>
      <c r="Z33" s="1"/>
      <c r="AA33" s="1"/>
      <c r="AB33" s="1"/>
      <c r="AC33" s="1"/>
      <c r="AD33" s="1"/>
      <c r="AE33" s="1"/>
    </row>
    <row r="34" spans="1:31" ht="12.75" customHeight="1" x14ac:dyDescent="0.2">
      <c r="A34" s="1"/>
      <c r="B34" s="1"/>
      <c r="C34" s="1"/>
      <c r="D34" s="1"/>
      <c r="E34" s="1"/>
      <c r="F34" s="1"/>
      <c r="G34" s="1"/>
      <c r="H34" s="1"/>
      <c r="I34" s="1"/>
      <c r="J34" s="1"/>
      <c r="K34" s="1"/>
      <c r="L34" s="1"/>
      <c r="M34" s="1"/>
      <c r="N34" s="1"/>
      <c r="O34" s="1"/>
      <c r="P34" s="1"/>
      <c r="Q34" s="5"/>
      <c r="R34" s="1"/>
      <c r="S34" s="1"/>
      <c r="T34" s="1"/>
      <c r="U34" s="1"/>
      <c r="V34" s="1"/>
      <c r="W34" s="1"/>
      <c r="X34" s="1"/>
      <c r="Y34" s="1"/>
      <c r="Z34" s="1"/>
      <c r="AA34" s="1"/>
      <c r="AB34" s="1"/>
      <c r="AC34" s="1"/>
      <c r="AD34" s="1"/>
      <c r="AE34" s="1"/>
    </row>
    <row r="35" spans="1:31" ht="12.75" customHeight="1" x14ac:dyDescent="0.2">
      <c r="A35" s="1" t="s">
        <v>306</v>
      </c>
      <c r="B35" s="1" t="s">
        <v>307</v>
      </c>
      <c r="C35" s="1" t="s">
        <v>308</v>
      </c>
      <c r="D35" s="10" t="str">
        <f>VLOOKUP(F35,Format!G:H,2,FALSE)</f>
        <v xml:space="preserve">DIS Unknown </v>
      </c>
      <c r="E35" s="10" t="str">
        <f>VLOOKUP(H35,Format!G:H,2,FALSE)</f>
        <v>LCM, Global</v>
      </c>
      <c r="F35" s="15" t="s">
        <v>292</v>
      </c>
      <c r="G35" s="11" t="s">
        <v>293</v>
      </c>
      <c r="H35" s="16" t="s">
        <v>294</v>
      </c>
      <c r="I35" s="5" t="s">
        <v>295</v>
      </c>
      <c r="J35" s="5" t="s">
        <v>21</v>
      </c>
      <c r="K35" s="5" t="s">
        <v>21</v>
      </c>
      <c r="L35" s="5" t="s">
        <v>21</v>
      </c>
      <c r="M35" s="5" t="s">
        <v>21</v>
      </c>
      <c r="N35" s="5" t="s">
        <v>63</v>
      </c>
      <c r="O35" s="5" t="s">
        <v>21</v>
      </c>
      <c r="P35" s="5" t="s">
        <v>21</v>
      </c>
      <c r="Q35" s="5" t="s">
        <v>46</v>
      </c>
      <c r="R35" s="1"/>
      <c r="S35" s="1"/>
      <c r="T35" s="1"/>
      <c r="U35" s="1"/>
      <c r="V35" s="1"/>
      <c r="W35" s="1"/>
      <c r="X35" s="1"/>
      <c r="Y35" s="1"/>
      <c r="Z35" s="1"/>
      <c r="AA35" s="1"/>
      <c r="AB35" s="1"/>
      <c r="AC35" s="1"/>
      <c r="AD35" s="1"/>
      <c r="AE35" s="1"/>
    </row>
    <row r="36" spans="1:31" ht="12.75" customHeight="1" x14ac:dyDescent="0.2">
      <c r="A36" s="1" t="s">
        <v>309</v>
      </c>
      <c r="B36" s="1" t="s">
        <v>310</v>
      </c>
      <c r="C36" s="1" t="s">
        <v>311</v>
      </c>
      <c r="D36" s="10" t="str">
        <f>VLOOKUP(F36,Format!G:H,2,FALSE)</f>
        <v xml:space="preserve">DIS Unknown </v>
      </c>
      <c r="E36" s="10" t="str">
        <f>VLOOKUP(H36,Format!G:H,2,FALSE)</f>
        <v>LCM, Global</v>
      </c>
      <c r="F36" s="15" t="s">
        <v>292</v>
      </c>
      <c r="G36" s="11" t="s">
        <v>293</v>
      </c>
      <c r="H36" s="16" t="s">
        <v>294</v>
      </c>
      <c r="I36" s="5" t="s">
        <v>295</v>
      </c>
      <c r="J36" s="5" t="s">
        <v>21</v>
      </c>
      <c r="K36" s="5" t="s">
        <v>21</v>
      </c>
      <c r="L36" s="5" t="s">
        <v>21</v>
      </c>
      <c r="M36" s="5" t="s">
        <v>21</v>
      </c>
      <c r="N36" s="5" t="s">
        <v>89</v>
      </c>
      <c r="O36" s="5" t="s">
        <v>21</v>
      </c>
      <c r="P36" s="5" t="s">
        <v>21</v>
      </c>
      <c r="Q36" s="5" t="s">
        <v>46</v>
      </c>
      <c r="R36" s="1"/>
      <c r="S36" s="1"/>
      <c r="T36" s="1"/>
      <c r="U36" s="1"/>
      <c r="V36" s="1"/>
      <c r="W36" s="1"/>
      <c r="X36" s="1"/>
      <c r="Y36" s="1"/>
      <c r="Z36" s="1"/>
      <c r="AA36" s="1"/>
      <c r="AB36" s="1"/>
      <c r="AC36" s="1"/>
      <c r="AD36" s="1"/>
      <c r="AE36" s="1"/>
    </row>
    <row r="37" spans="1:31" ht="12.75" customHeight="1" x14ac:dyDescent="0.2">
      <c r="A37" s="1"/>
      <c r="B37" s="1"/>
      <c r="C37" s="1"/>
      <c r="D37" s="1"/>
      <c r="E37" s="1"/>
      <c r="F37" s="1"/>
      <c r="G37" s="1"/>
      <c r="H37" s="1"/>
      <c r="I37" s="1"/>
      <c r="J37" s="1"/>
      <c r="K37" s="1"/>
      <c r="L37" s="1"/>
      <c r="M37" s="1"/>
      <c r="N37" s="1"/>
      <c r="O37" s="1"/>
      <c r="P37" s="1"/>
      <c r="Q37" s="5"/>
      <c r="R37" s="1"/>
      <c r="S37" s="1"/>
      <c r="T37" s="1"/>
      <c r="U37" s="1"/>
      <c r="V37" s="1"/>
      <c r="W37" s="1"/>
      <c r="X37" s="1"/>
      <c r="Y37" s="1"/>
      <c r="Z37" s="1"/>
      <c r="AA37" s="1"/>
      <c r="AB37" s="1"/>
      <c r="AC37" s="1"/>
      <c r="AD37" s="1"/>
      <c r="AE37" s="1"/>
    </row>
    <row r="38" spans="1:31" ht="12.75" customHeight="1" x14ac:dyDescent="0.2">
      <c r="A38" s="1" t="s">
        <v>312</v>
      </c>
      <c r="B38" s="1" t="s">
        <v>313</v>
      </c>
      <c r="C38" s="1" t="s">
        <v>314</v>
      </c>
      <c r="D38" s="10" t="str">
        <f>VLOOKUP(F38,Format!G:H,2,FALSE)</f>
        <v xml:space="preserve">DIS Unknown </v>
      </c>
      <c r="E38" s="10" t="str">
        <f>VLOOKUP(H38,Format!G:H,2,FALSE)</f>
        <v>General news 1</v>
      </c>
      <c r="F38" s="15" t="s">
        <v>103</v>
      </c>
      <c r="G38" s="11" t="s">
        <v>25</v>
      </c>
      <c r="H38" s="16" t="s">
        <v>21</v>
      </c>
      <c r="I38" s="5" t="s">
        <v>80</v>
      </c>
      <c r="J38" s="5" t="s">
        <v>12</v>
      </c>
      <c r="K38" s="5" t="s">
        <v>15</v>
      </c>
      <c r="L38" s="51" t="s">
        <v>315</v>
      </c>
      <c r="M38" s="1"/>
      <c r="N38" s="1"/>
      <c r="O38" s="1"/>
      <c r="P38" s="1"/>
      <c r="Q38" s="5"/>
      <c r="R38" s="1"/>
      <c r="S38" s="1"/>
      <c r="T38" s="1"/>
      <c r="U38" s="1"/>
      <c r="V38" s="1"/>
      <c r="W38" s="1"/>
      <c r="X38" s="1"/>
      <c r="Y38" s="1"/>
      <c r="Z38" s="1"/>
      <c r="AA38" s="1"/>
      <c r="AB38" s="1"/>
      <c r="AC38" s="1"/>
      <c r="AD38" s="1"/>
      <c r="AE38" s="1"/>
    </row>
    <row r="39" spans="1:31" ht="12.75" customHeight="1" x14ac:dyDescent="0.2">
      <c r="A39" s="1"/>
      <c r="B39" s="1"/>
      <c r="C39" s="1"/>
      <c r="D39" s="1"/>
      <c r="E39" s="1"/>
      <c r="F39" s="1"/>
      <c r="G39" s="1"/>
      <c r="H39" s="1"/>
      <c r="I39" s="1"/>
      <c r="J39" s="1"/>
      <c r="K39" s="1"/>
      <c r="L39" s="1"/>
      <c r="M39" s="1"/>
      <c r="N39" s="1"/>
      <c r="O39" s="1"/>
      <c r="P39" s="1"/>
      <c r="Q39" s="5"/>
      <c r="R39" s="1"/>
      <c r="S39" s="1"/>
      <c r="T39" s="1"/>
      <c r="U39" s="1"/>
      <c r="V39" s="1"/>
      <c r="W39" s="1"/>
      <c r="X39" s="1"/>
      <c r="Y39" s="1"/>
      <c r="Z39" s="1"/>
      <c r="AA39" s="1"/>
      <c r="AB39" s="1"/>
      <c r="AC39" s="1"/>
      <c r="AD39" s="1"/>
      <c r="AE39" s="1"/>
    </row>
    <row r="40" spans="1:31" ht="12.75" customHeight="1" x14ac:dyDescent="0.2">
      <c r="A40" s="1" t="s">
        <v>316</v>
      </c>
      <c r="B40" s="1" t="s">
        <v>317</v>
      </c>
      <c r="C40" s="1" t="s">
        <v>318</v>
      </c>
      <c r="D40" s="10" t="str">
        <f>VLOOKUP(F40,Format!G:H,2,FALSE)</f>
        <v xml:space="preserve">DIS Unknown </v>
      </c>
      <c r="E40" s="10" t="str">
        <f>VLOOKUP(H40,Format!G:H,2,FALSE)</f>
        <v>LCM, Global</v>
      </c>
      <c r="F40" s="15" t="s">
        <v>292</v>
      </c>
      <c r="G40" s="11" t="s">
        <v>293</v>
      </c>
      <c r="H40" s="16" t="s">
        <v>294</v>
      </c>
      <c r="I40" s="5" t="s">
        <v>295</v>
      </c>
      <c r="J40" s="5" t="s">
        <v>21</v>
      </c>
      <c r="K40" s="5" t="s">
        <v>21</v>
      </c>
      <c r="L40" s="5" t="s">
        <v>21</v>
      </c>
      <c r="M40" s="5" t="s">
        <v>21</v>
      </c>
      <c r="N40" s="5" t="s">
        <v>21</v>
      </c>
      <c r="O40" s="5" t="s">
        <v>21</v>
      </c>
      <c r="P40" s="5" t="s">
        <v>15</v>
      </c>
      <c r="Q40" s="5" t="s">
        <v>46</v>
      </c>
      <c r="R40" s="1"/>
      <c r="S40" s="1"/>
      <c r="T40" s="1"/>
      <c r="U40" s="1"/>
      <c r="V40" s="1"/>
      <c r="W40" s="1"/>
      <c r="X40" s="1"/>
      <c r="Y40" s="1"/>
      <c r="Z40" s="1"/>
      <c r="AA40" s="1"/>
      <c r="AB40" s="1"/>
      <c r="AC40" s="1"/>
      <c r="AD40" s="1"/>
      <c r="AE40" s="1"/>
    </row>
    <row r="41" spans="1:31" ht="12.75" customHeight="1" x14ac:dyDescent="0.2">
      <c r="A41" s="1" t="s">
        <v>319</v>
      </c>
      <c r="B41" s="1" t="s">
        <v>320</v>
      </c>
      <c r="C41" s="1" t="s">
        <v>321</v>
      </c>
      <c r="D41" s="10" t="str">
        <f>VLOOKUP(F41,Format!G:H,2,FALSE)</f>
        <v xml:space="preserve">DIS Unknown </v>
      </c>
      <c r="E41" s="10" t="str">
        <f>VLOOKUP(H41,Format!G:H,2,FALSE)</f>
        <v>LCM, Global</v>
      </c>
      <c r="F41" s="15" t="s">
        <v>292</v>
      </c>
      <c r="G41" s="11" t="s">
        <v>293</v>
      </c>
      <c r="H41" s="16" t="s">
        <v>294</v>
      </c>
      <c r="I41" s="5" t="s">
        <v>295</v>
      </c>
      <c r="J41" s="5" t="s">
        <v>21</v>
      </c>
      <c r="K41" s="5" t="s">
        <v>21</v>
      </c>
      <c r="L41" s="5" t="s">
        <v>21</v>
      </c>
      <c r="M41" s="5" t="s">
        <v>21</v>
      </c>
      <c r="N41" s="5" t="s">
        <v>21</v>
      </c>
      <c r="O41" s="5" t="s">
        <v>21</v>
      </c>
      <c r="P41" s="5" t="s">
        <v>21</v>
      </c>
      <c r="Q41" s="5" t="s">
        <v>46</v>
      </c>
      <c r="R41" s="1"/>
      <c r="S41" s="1"/>
      <c r="T41" s="1"/>
      <c r="U41" s="1"/>
      <c r="V41" s="1"/>
      <c r="W41" s="1"/>
      <c r="X41" s="1"/>
      <c r="Y41" s="1"/>
      <c r="Z41" s="1"/>
      <c r="AA41" s="1"/>
      <c r="AB41" s="1"/>
      <c r="AC41" s="1"/>
      <c r="AD41" s="1"/>
      <c r="AE41" s="1"/>
    </row>
    <row r="42" spans="1:31" ht="12.75" customHeight="1" x14ac:dyDescent="0.2">
      <c r="A42" s="1"/>
      <c r="B42" s="1"/>
      <c r="C42" s="1"/>
      <c r="D42" s="1"/>
      <c r="E42" s="1"/>
      <c r="F42" s="1"/>
      <c r="G42" s="1"/>
      <c r="H42" s="1"/>
      <c r="I42" s="1"/>
      <c r="J42" s="1"/>
      <c r="K42" s="1"/>
      <c r="L42" s="1"/>
      <c r="M42" s="1"/>
      <c r="N42" s="1"/>
      <c r="O42" s="1"/>
      <c r="P42" s="1"/>
      <c r="Q42" s="5"/>
      <c r="R42" s="1"/>
      <c r="S42" s="1"/>
      <c r="T42" s="1"/>
      <c r="U42" s="1"/>
      <c r="V42" s="1"/>
      <c r="W42" s="1"/>
      <c r="X42" s="1"/>
      <c r="Y42" s="1"/>
      <c r="Z42" s="1"/>
      <c r="AA42" s="1"/>
      <c r="AB42" s="1"/>
      <c r="AC42" s="1"/>
      <c r="AD42" s="1"/>
      <c r="AE42" s="1"/>
    </row>
    <row r="43" spans="1:31" ht="12.75" customHeight="1" x14ac:dyDescent="0.2">
      <c r="A43" s="1" t="s">
        <v>322</v>
      </c>
      <c r="B43" s="1" t="s">
        <v>323</v>
      </c>
      <c r="C43" s="1" t="s">
        <v>324</v>
      </c>
      <c r="D43" s="10" t="str">
        <f>VLOOKUP(F43,Format!G:H,2,FALSE)</f>
        <v xml:space="preserve">DIS Unknown </v>
      </c>
      <c r="E43" s="10" t="str">
        <f>VLOOKUP(H43,Format!G:H,2,FALSE)</f>
        <v>General news 1</v>
      </c>
      <c r="F43" s="15" t="s">
        <v>103</v>
      </c>
      <c r="G43" s="11" t="s">
        <v>25</v>
      </c>
      <c r="H43" s="16" t="s">
        <v>21</v>
      </c>
      <c r="I43" s="5" t="s">
        <v>80</v>
      </c>
      <c r="J43" s="5" t="s">
        <v>325</v>
      </c>
      <c r="K43" s="5" t="s">
        <v>15</v>
      </c>
      <c r="L43" s="51" t="s">
        <v>326</v>
      </c>
      <c r="M43" s="1"/>
      <c r="N43" s="1"/>
      <c r="O43" s="1"/>
      <c r="P43" s="1"/>
      <c r="Q43" s="5"/>
      <c r="R43" s="1"/>
      <c r="S43" s="1"/>
      <c r="T43" s="1"/>
      <c r="U43" s="1"/>
      <c r="V43" s="1"/>
      <c r="W43" s="1"/>
      <c r="X43" s="1"/>
      <c r="Y43" s="1"/>
      <c r="Z43" s="1"/>
      <c r="AA43" s="1"/>
      <c r="AB43" s="1"/>
      <c r="AC43" s="1"/>
      <c r="AD43" s="1"/>
      <c r="AE43" s="1"/>
    </row>
    <row r="44" spans="1:31" ht="12.75" customHeight="1" x14ac:dyDescent="0.2">
      <c r="A44" s="1"/>
      <c r="B44" s="1"/>
      <c r="C44" s="1"/>
      <c r="D44" s="1"/>
      <c r="E44" s="1"/>
      <c r="F44" s="1"/>
      <c r="G44" s="1"/>
      <c r="H44" s="1"/>
      <c r="I44" s="5"/>
      <c r="J44" s="5"/>
      <c r="K44" s="5"/>
      <c r="L44" s="5"/>
      <c r="M44" s="1"/>
      <c r="N44" s="1"/>
      <c r="O44" s="1"/>
      <c r="P44" s="1"/>
      <c r="Q44" s="5"/>
      <c r="R44" s="1"/>
      <c r="S44" s="1"/>
      <c r="T44" s="1"/>
      <c r="U44" s="1"/>
      <c r="V44" s="1"/>
      <c r="W44" s="1"/>
      <c r="X44" s="1"/>
      <c r="Y44" s="1"/>
      <c r="Z44" s="1"/>
      <c r="AA44" s="1"/>
      <c r="AB44" s="1"/>
      <c r="AC44" s="1"/>
      <c r="AD44" s="1"/>
      <c r="AE44" s="1"/>
    </row>
    <row r="45" spans="1:31" ht="14.25" customHeight="1" x14ac:dyDescent="0.2">
      <c r="A45" s="1"/>
      <c r="B45" s="50" t="s">
        <v>327</v>
      </c>
      <c r="C45" s="1"/>
      <c r="D45" s="10" t="str">
        <f>VLOOKUP(F45,Format!G:H,2,FALSE)</f>
        <v>General news 1</v>
      </c>
      <c r="E45" s="10" t="str">
        <f>VLOOKUP(H45,Format!G:H,2,FALSE)</f>
        <v>CDCD</v>
      </c>
      <c r="F45" s="15" t="s">
        <v>21</v>
      </c>
      <c r="G45" s="11" t="s">
        <v>18</v>
      </c>
      <c r="H45" s="16" t="s">
        <v>328</v>
      </c>
      <c r="I45" s="1"/>
      <c r="J45" s="1" t="s">
        <v>329</v>
      </c>
      <c r="K45" s="1"/>
      <c r="L45" s="1"/>
      <c r="M45" s="1"/>
      <c r="N45" s="1"/>
      <c r="O45" s="1"/>
      <c r="P45" s="1"/>
      <c r="Q45" s="5" t="s">
        <v>330</v>
      </c>
      <c r="R45" s="1"/>
      <c r="S45" s="1"/>
      <c r="T45" s="1"/>
      <c r="U45" s="1"/>
      <c r="V45" s="1"/>
      <c r="W45" s="1"/>
      <c r="X45" s="1"/>
      <c r="Y45" s="1"/>
      <c r="Z45" s="1"/>
      <c r="AA45" s="1" t="s">
        <v>331</v>
      </c>
      <c r="AB45" s="1"/>
      <c r="AC45" s="1"/>
      <c r="AD45" s="1"/>
      <c r="AE45" s="1"/>
    </row>
    <row r="46" spans="1:31" ht="14.25" customHeight="1" x14ac:dyDescent="0.2">
      <c r="A46" s="1"/>
      <c r="B46" s="50"/>
      <c r="C46" s="1"/>
      <c r="D46" s="1"/>
      <c r="E46" s="1"/>
      <c r="F46" s="1"/>
      <c r="G46" s="1"/>
      <c r="H46" s="1"/>
      <c r="I46" s="1"/>
      <c r="J46" s="1"/>
      <c r="K46" s="1"/>
      <c r="L46" s="1"/>
      <c r="M46" s="1"/>
      <c r="N46" s="1"/>
      <c r="O46" s="1"/>
      <c r="P46" s="1"/>
      <c r="Q46" s="5"/>
      <c r="R46" s="1"/>
      <c r="S46" s="1"/>
      <c r="T46" s="1"/>
      <c r="U46" s="1"/>
      <c r="V46" s="1"/>
      <c r="W46" s="1"/>
      <c r="X46" s="1"/>
      <c r="Y46" s="1"/>
      <c r="Z46" s="1"/>
      <c r="AA46" s="1"/>
      <c r="AB46" s="1"/>
      <c r="AC46" s="1"/>
      <c r="AD46" s="1"/>
      <c r="AE46" s="1"/>
    </row>
    <row r="47" spans="1:31" ht="12.75" customHeight="1" x14ac:dyDescent="0.2">
      <c r="A47" s="1"/>
      <c r="B47" s="1"/>
      <c r="C47" s="1"/>
      <c r="D47" s="1"/>
      <c r="E47" s="1"/>
      <c r="F47" s="1"/>
      <c r="G47" s="1"/>
      <c r="H47" s="1"/>
      <c r="I47" s="1"/>
      <c r="J47" s="1"/>
      <c r="K47" s="1"/>
      <c r="L47" s="1"/>
      <c r="M47" s="1"/>
      <c r="N47" s="1"/>
      <c r="O47" s="1"/>
      <c r="P47" s="1"/>
      <c r="Q47" s="5"/>
      <c r="R47" s="1"/>
      <c r="S47" s="1"/>
      <c r="T47" s="1"/>
      <c r="U47" s="1"/>
      <c r="V47" s="1"/>
      <c r="W47" s="1"/>
      <c r="X47" s="1"/>
      <c r="Y47" s="1"/>
      <c r="Z47" s="1"/>
      <c r="AA47" s="1"/>
      <c r="AB47" s="1"/>
      <c r="AC47" s="1"/>
      <c r="AD47" s="1"/>
      <c r="AE47" s="1"/>
    </row>
    <row r="48" spans="1:31" ht="15.75" customHeight="1" x14ac:dyDescent="0.25">
      <c r="A48" s="1" t="s">
        <v>332</v>
      </c>
      <c r="B48" s="6" t="s">
        <v>333</v>
      </c>
      <c r="C48" s="1"/>
      <c r="D48" s="1"/>
      <c r="E48" s="1"/>
      <c r="F48" s="1"/>
      <c r="G48" s="1"/>
      <c r="H48" s="1"/>
      <c r="I48" s="1"/>
      <c r="J48" s="1"/>
      <c r="K48" s="1"/>
      <c r="L48" s="1"/>
      <c r="M48" s="1"/>
      <c r="N48" s="1"/>
      <c r="O48" s="1"/>
      <c r="P48" s="1"/>
      <c r="Q48" s="5"/>
      <c r="R48" s="1"/>
      <c r="S48" s="1"/>
      <c r="T48" s="1"/>
      <c r="U48" s="1"/>
      <c r="V48" s="1"/>
      <c r="W48" s="1"/>
      <c r="X48" s="1"/>
      <c r="Y48" s="1"/>
      <c r="Z48" s="1"/>
      <c r="AA48" s="1"/>
      <c r="AB48" s="1"/>
      <c r="AC48" s="1"/>
      <c r="AD48" s="1"/>
      <c r="AE48" s="1"/>
    </row>
    <row r="49" spans="1:31" ht="12.75" customHeight="1" x14ac:dyDescent="0.2">
      <c r="A49" s="1" t="s">
        <v>334</v>
      </c>
      <c r="B49" s="1" t="s">
        <v>335</v>
      </c>
      <c r="C49" s="1" t="s">
        <v>336</v>
      </c>
      <c r="D49" s="10" t="str">
        <f>VLOOKUP(F49,Format!G:H,2,FALSE)</f>
        <v>General news 1</v>
      </c>
      <c r="E49" s="10" t="str">
        <f>VLOOKUP(H49,Format!G:H,2,FALSE)</f>
        <v>LCM, Global</v>
      </c>
      <c r="F49" s="15" t="s">
        <v>21</v>
      </c>
      <c r="G49" s="11" t="s">
        <v>18</v>
      </c>
      <c r="H49" s="16" t="s">
        <v>337</v>
      </c>
      <c r="I49" s="5" t="s">
        <v>131</v>
      </c>
      <c r="J49" s="5" t="s">
        <v>338</v>
      </c>
      <c r="K49" s="1"/>
      <c r="L49" s="1"/>
      <c r="M49" s="1"/>
      <c r="N49" s="1"/>
      <c r="O49" s="1"/>
      <c r="P49" s="1"/>
      <c r="Q49" s="5"/>
      <c r="R49" s="1"/>
      <c r="S49" s="1"/>
      <c r="T49" s="1"/>
      <c r="U49" s="1"/>
      <c r="V49" s="1"/>
      <c r="W49" s="1"/>
      <c r="X49" s="1"/>
      <c r="Y49" s="1"/>
      <c r="Z49" s="1"/>
      <c r="AA49" s="1"/>
      <c r="AB49" s="1"/>
      <c r="AC49" s="1"/>
      <c r="AD49" s="1"/>
      <c r="AE49" s="1"/>
    </row>
    <row r="50" spans="1:31" ht="12.75" customHeight="1" x14ac:dyDescent="0.2">
      <c r="A50" s="1" t="s">
        <v>339</v>
      </c>
      <c r="B50" s="1" t="s">
        <v>340</v>
      </c>
      <c r="C50" s="1" t="s">
        <v>341</v>
      </c>
      <c r="D50" s="10" t="str">
        <f>VLOOKUP(F50,Format!G:H,2,FALSE)</f>
        <v>General news 1</v>
      </c>
      <c r="E50" s="10" t="str">
        <f>VLOOKUP(H50,Format!G:H,2,FALSE)</f>
        <v>LCM, Global</v>
      </c>
      <c r="F50" s="15" t="s">
        <v>21</v>
      </c>
      <c r="G50" s="11" t="s">
        <v>18</v>
      </c>
      <c r="H50" s="16" t="s">
        <v>337</v>
      </c>
      <c r="I50" s="5" t="s">
        <v>131</v>
      </c>
      <c r="J50" s="5" t="s">
        <v>179</v>
      </c>
      <c r="K50" s="1"/>
      <c r="L50" s="1"/>
      <c r="M50" s="1"/>
      <c r="N50" s="1"/>
      <c r="O50" s="1"/>
      <c r="P50" s="1"/>
      <c r="Q50" s="5"/>
      <c r="R50" s="1"/>
      <c r="S50" s="1"/>
      <c r="T50" s="1"/>
      <c r="U50" s="1"/>
      <c r="V50" s="1"/>
      <c r="W50" s="1"/>
      <c r="X50" s="1"/>
      <c r="Y50" s="1"/>
      <c r="Z50" s="1"/>
      <c r="AA50" s="1"/>
      <c r="AB50" s="1"/>
      <c r="AC50" s="1"/>
      <c r="AD50" s="1"/>
      <c r="AE50" s="1"/>
    </row>
    <row r="51" spans="1:31" ht="12.75" customHeight="1" x14ac:dyDescent="0.2">
      <c r="A51" s="1"/>
      <c r="B51" s="1" t="s">
        <v>342</v>
      </c>
      <c r="C51" s="1"/>
      <c r="D51" s="10" t="str">
        <f>VLOOKUP(F51,Format!G:H,2,FALSE)</f>
        <v>General news 1</v>
      </c>
      <c r="E51" s="10" t="str">
        <f>VLOOKUP(H51,Format!G:H,2,FALSE)</f>
        <v>LCM, Global</v>
      </c>
      <c r="F51" s="15" t="s">
        <v>21</v>
      </c>
      <c r="G51" s="11" t="s">
        <v>18</v>
      </c>
      <c r="H51" s="16" t="s">
        <v>337</v>
      </c>
      <c r="I51" s="5" t="s">
        <v>131</v>
      </c>
      <c r="J51" s="5" t="s">
        <v>46</v>
      </c>
      <c r="K51" s="1"/>
      <c r="L51" s="1"/>
      <c r="M51" s="1"/>
      <c r="N51" s="1"/>
      <c r="O51" s="1"/>
      <c r="P51" s="1"/>
      <c r="Q51" s="5"/>
      <c r="R51" s="1"/>
      <c r="S51" s="1"/>
      <c r="T51" s="1"/>
      <c r="U51" s="1"/>
      <c r="V51" s="1"/>
      <c r="W51" s="1"/>
      <c r="X51" s="1"/>
      <c r="Y51" s="1"/>
      <c r="Z51" s="1"/>
      <c r="AA51" s="1"/>
      <c r="AB51" s="1"/>
      <c r="AC51" s="1"/>
      <c r="AD51" s="1"/>
      <c r="AE51" s="1"/>
    </row>
    <row r="52" spans="1:31" ht="12.75" customHeight="1" x14ac:dyDescent="0.2">
      <c r="A52" s="1"/>
      <c r="B52" s="1"/>
      <c r="C52" s="1"/>
      <c r="D52" s="1"/>
      <c r="E52" s="1"/>
      <c r="F52" s="1"/>
      <c r="G52" s="1"/>
      <c r="H52" s="1"/>
      <c r="I52" s="1"/>
      <c r="J52" s="1"/>
      <c r="K52" s="1"/>
      <c r="L52" s="1"/>
      <c r="M52" s="1"/>
      <c r="N52" s="1"/>
      <c r="O52" s="1"/>
      <c r="P52" s="1"/>
      <c r="Q52" s="5"/>
      <c r="R52" s="1"/>
      <c r="S52" s="1"/>
      <c r="T52" s="1"/>
      <c r="U52" s="1"/>
      <c r="V52" s="1"/>
      <c r="W52" s="1"/>
      <c r="X52" s="1"/>
      <c r="Y52" s="1"/>
      <c r="Z52" s="1"/>
      <c r="AA52" s="1"/>
      <c r="AB52" s="1"/>
      <c r="AC52" s="1"/>
      <c r="AD52" s="1"/>
      <c r="AE52" s="1"/>
    </row>
    <row r="53" spans="1:31" ht="12.75" customHeight="1" x14ac:dyDescent="0.2">
      <c r="A53" s="1" t="s">
        <v>343</v>
      </c>
      <c r="B53" s="1" t="s">
        <v>344</v>
      </c>
      <c r="C53" s="1" t="s">
        <v>345</v>
      </c>
      <c r="D53" s="10" t="str">
        <f>VLOOKUP(F53,Format!G:H,2,FALSE)</f>
        <v>Immobilizer</v>
      </c>
      <c r="E53" s="10" t="str">
        <f>VLOOKUP(H53,Format!G:H,2,FALSE)</f>
        <v>LCM, Global</v>
      </c>
      <c r="F53" s="15" t="s">
        <v>234</v>
      </c>
      <c r="G53" s="11" t="s">
        <v>25</v>
      </c>
      <c r="H53" s="16" t="s">
        <v>294</v>
      </c>
      <c r="I53" s="5" t="s">
        <v>346</v>
      </c>
      <c r="J53" s="5" t="s">
        <v>18</v>
      </c>
      <c r="K53" s="5" t="s">
        <v>15</v>
      </c>
      <c r="L53" s="1"/>
      <c r="M53" s="1" t="s">
        <v>347</v>
      </c>
      <c r="N53" s="1"/>
      <c r="O53" s="1"/>
      <c r="P53" s="1"/>
      <c r="Q53" s="5"/>
      <c r="R53" s="1"/>
      <c r="S53" s="1"/>
      <c r="T53" s="1"/>
      <c r="U53" s="1"/>
      <c r="V53" s="1"/>
      <c r="W53" s="1"/>
      <c r="X53" s="1"/>
      <c r="Y53" s="1"/>
      <c r="Z53" s="1"/>
      <c r="AA53" s="1"/>
      <c r="AB53" s="1"/>
      <c r="AC53" s="1"/>
      <c r="AD53" s="1"/>
      <c r="AE53" s="1"/>
    </row>
    <row r="54" spans="1:31" ht="12.75" customHeight="1" x14ac:dyDescent="0.2">
      <c r="A54" s="1"/>
      <c r="B54" s="1"/>
      <c r="C54" s="1"/>
      <c r="D54" s="1"/>
      <c r="E54" s="1"/>
      <c r="F54" s="15" t="s">
        <v>234</v>
      </c>
      <c r="G54" s="11" t="s">
        <v>25</v>
      </c>
      <c r="H54" s="16" t="s">
        <v>294</v>
      </c>
      <c r="I54" s="5" t="s">
        <v>346</v>
      </c>
      <c r="J54" s="5" t="s">
        <v>18</v>
      </c>
      <c r="K54" s="5" t="s">
        <v>21</v>
      </c>
      <c r="L54" s="5" t="s">
        <v>348</v>
      </c>
      <c r="M54" s="1"/>
      <c r="N54" s="1"/>
      <c r="O54" s="1"/>
      <c r="P54" s="1"/>
      <c r="Q54" s="5"/>
      <c r="R54" s="1"/>
      <c r="S54" s="1"/>
      <c r="T54" s="1"/>
      <c r="U54" s="1"/>
      <c r="V54" s="1"/>
      <c r="W54" s="1"/>
      <c r="X54" s="1"/>
      <c r="Y54" s="1"/>
      <c r="Z54" s="1"/>
      <c r="AA54" s="1"/>
      <c r="AB54" s="1"/>
      <c r="AC54" s="1"/>
      <c r="AD54" s="1"/>
      <c r="AE54" s="1"/>
    </row>
    <row r="55" spans="1:31" ht="12.75" customHeight="1" x14ac:dyDescent="0.2">
      <c r="A55" s="1" t="s">
        <v>349</v>
      </c>
      <c r="B55" s="1" t="s">
        <v>350</v>
      </c>
      <c r="C55" s="1" t="s">
        <v>351</v>
      </c>
      <c r="D55" s="10" t="str">
        <f>VLOOKUP(F55,Format!G:H,2,FALSE)</f>
        <v>Immobilizer</v>
      </c>
      <c r="E55" s="10" t="str">
        <f>VLOOKUP(H55,Format!G:H,2,FALSE)</f>
        <v>LCM, Global</v>
      </c>
      <c r="F55" s="15" t="s">
        <v>234</v>
      </c>
      <c r="G55" s="11" t="s">
        <v>25</v>
      </c>
      <c r="H55" s="16" t="s">
        <v>294</v>
      </c>
      <c r="I55" s="5" t="s">
        <v>346</v>
      </c>
      <c r="J55" s="5" t="s">
        <v>21</v>
      </c>
      <c r="K55" s="5" t="s">
        <v>19</v>
      </c>
      <c r="L55" s="1"/>
      <c r="M55" s="1" t="s">
        <v>352</v>
      </c>
      <c r="N55" s="1"/>
      <c r="O55" s="1"/>
      <c r="P55" s="1"/>
      <c r="Q55" s="5"/>
      <c r="R55" s="1"/>
      <c r="S55" s="1"/>
      <c r="T55" s="1"/>
      <c r="U55" s="1"/>
      <c r="V55" s="1"/>
      <c r="W55" s="1"/>
      <c r="X55" s="1"/>
      <c r="Y55" s="1"/>
      <c r="Z55" s="1"/>
      <c r="AA55" s="1"/>
      <c r="AB55" s="1"/>
      <c r="AC55" s="1"/>
      <c r="AD55" s="1"/>
      <c r="AE55" s="1"/>
    </row>
    <row r="56" spans="1:31" ht="12.75" customHeight="1" x14ac:dyDescent="0.2">
      <c r="A56" s="1"/>
      <c r="B56" s="1" t="s">
        <v>350</v>
      </c>
      <c r="C56" s="1"/>
      <c r="D56" s="1"/>
      <c r="E56" s="1"/>
      <c r="F56" s="15" t="s">
        <v>234</v>
      </c>
      <c r="G56" s="11" t="s">
        <v>25</v>
      </c>
      <c r="H56" s="16" t="s">
        <v>294</v>
      </c>
      <c r="I56" s="5" t="s">
        <v>346</v>
      </c>
      <c r="J56" s="5" t="s">
        <v>21</v>
      </c>
      <c r="K56" s="5" t="s">
        <v>21</v>
      </c>
      <c r="L56" s="5" t="s">
        <v>348</v>
      </c>
      <c r="M56" s="1"/>
      <c r="N56" s="1"/>
      <c r="O56" s="1"/>
      <c r="P56" s="1"/>
      <c r="Q56" s="5"/>
      <c r="R56" s="1"/>
      <c r="S56" s="1"/>
      <c r="T56" s="1"/>
      <c r="U56" s="1"/>
      <c r="V56" s="1"/>
      <c r="W56" s="1"/>
      <c r="X56" s="1"/>
      <c r="Y56" s="1"/>
      <c r="Z56" s="1"/>
      <c r="AA56" s="1"/>
      <c r="AB56" s="1"/>
      <c r="AC56" s="1"/>
      <c r="AD56" s="1"/>
      <c r="AE56" s="1"/>
    </row>
    <row r="57" spans="1:31" ht="12.75" customHeight="1" x14ac:dyDescent="0.2">
      <c r="A57" s="1"/>
      <c r="B57" s="1"/>
      <c r="C57" s="1"/>
      <c r="D57" s="1"/>
      <c r="E57" s="1"/>
      <c r="F57" s="1"/>
      <c r="G57" s="1"/>
      <c r="H57" s="1"/>
      <c r="I57" s="5"/>
      <c r="J57" s="5"/>
      <c r="K57" s="5"/>
      <c r="L57" s="1"/>
      <c r="M57" s="1"/>
      <c r="N57" s="1"/>
      <c r="O57" s="1"/>
      <c r="P57" s="1"/>
      <c r="Q57" s="5"/>
      <c r="R57" s="1"/>
      <c r="S57" s="1"/>
      <c r="T57" s="1"/>
      <c r="U57" s="1"/>
      <c r="V57" s="1"/>
      <c r="W57" s="1"/>
      <c r="X57" s="1"/>
      <c r="Y57" s="1"/>
      <c r="Z57" s="1"/>
      <c r="AA57" s="1"/>
      <c r="AB57" s="1"/>
      <c r="AC57" s="1"/>
      <c r="AD57" s="1"/>
      <c r="AE57" s="1"/>
    </row>
    <row r="58" spans="1:31" ht="12.75" customHeight="1" x14ac:dyDescent="0.2">
      <c r="A58" s="1" t="s">
        <v>353</v>
      </c>
      <c r="B58" s="1" t="s">
        <v>354</v>
      </c>
      <c r="C58" s="1" t="s">
        <v>355</v>
      </c>
      <c r="D58" s="10" t="str">
        <f>VLOOKUP(F58,Format!G:H,2,FALSE)</f>
        <v xml:space="preserve">DIS Unknown </v>
      </c>
      <c r="E58" s="10" t="str">
        <f>VLOOKUP(H58,Format!G:H,2,FALSE)</f>
        <v>General news 1</v>
      </c>
      <c r="F58" s="15" t="s">
        <v>103</v>
      </c>
      <c r="G58" s="11" t="s">
        <v>25</v>
      </c>
      <c r="H58" s="16" t="s">
        <v>21</v>
      </c>
      <c r="I58" s="5" t="s">
        <v>80</v>
      </c>
      <c r="J58" s="5" t="s">
        <v>36</v>
      </c>
      <c r="K58" s="5" t="s">
        <v>15</v>
      </c>
      <c r="L58" s="1"/>
      <c r="M58" s="1"/>
      <c r="N58" s="1"/>
      <c r="O58" s="1"/>
      <c r="P58" s="1"/>
      <c r="Q58" s="5"/>
      <c r="R58" s="1"/>
      <c r="S58" s="1"/>
      <c r="T58" s="1"/>
      <c r="U58" s="1"/>
      <c r="V58" s="1"/>
      <c r="W58" s="1"/>
      <c r="X58" s="1"/>
      <c r="Y58" s="1"/>
      <c r="Z58" s="1"/>
      <c r="AA58" s="1"/>
      <c r="AB58" s="1"/>
      <c r="AC58" s="1"/>
      <c r="AD58" s="1"/>
      <c r="AE58" s="1"/>
    </row>
    <row r="59" spans="1:31" ht="12.75" customHeight="1" x14ac:dyDescent="0.2">
      <c r="A59" s="1" t="s">
        <v>356</v>
      </c>
      <c r="B59" s="1" t="s">
        <v>357</v>
      </c>
      <c r="C59" s="1" t="s">
        <v>358</v>
      </c>
      <c r="D59" s="10" t="str">
        <f>VLOOKUP(F59,Format!G:H,2,FALSE)</f>
        <v xml:space="preserve">DIS Unknown </v>
      </c>
      <c r="E59" s="10" t="str">
        <f>VLOOKUP(H59,Format!G:H,2,FALSE)</f>
        <v>General news 1</v>
      </c>
      <c r="F59" s="15" t="s">
        <v>103</v>
      </c>
      <c r="G59" s="11" t="s">
        <v>25</v>
      </c>
      <c r="H59" s="16" t="s">
        <v>21</v>
      </c>
      <c r="I59" s="5" t="s">
        <v>80</v>
      </c>
      <c r="J59" s="5" t="s">
        <v>326</v>
      </c>
      <c r="K59" s="5" t="s">
        <v>15</v>
      </c>
      <c r="L59" s="1"/>
      <c r="M59" s="1"/>
      <c r="N59" s="1"/>
      <c r="O59" s="1"/>
      <c r="P59" s="1"/>
      <c r="Q59" s="5"/>
      <c r="R59" s="1"/>
      <c r="S59" s="1"/>
      <c r="T59" s="1"/>
      <c r="U59" s="1"/>
      <c r="V59" s="1"/>
      <c r="W59" s="1"/>
      <c r="X59" s="1"/>
      <c r="Y59" s="1"/>
      <c r="Z59" s="1"/>
      <c r="AA59" s="1"/>
      <c r="AB59" s="1"/>
      <c r="AC59" s="1"/>
      <c r="AD59" s="1"/>
      <c r="AE59" s="1"/>
    </row>
    <row r="60" spans="1:31" ht="12.75" customHeight="1" x14ac:dyDescent="0.2">
      <c r="A60" s="1" t="s">
        <v>359</v>
      </c>
      <c r="B60" s="1" t="s">
        <v>360</v>
      </c>
      <c r="C60" s="1" t="s">
        <v>361</v>
      </c>
      <c r="D60" s="10" t="str">
        <f>VLOOKUP(F60,Format!G:H,2,FALSE)</f>
        <v xml:space="preserve">DIS Unknown </v>
      </c>
      <c r="E60" s="10" t="str">
        <f>VLOOKUP(H60,Format!G:H,2,FALSE)</f>
        <v>General news 1</v>
      </c>
      <c r="F60" s="15" t="s">
        <v>103</v>
      </c>
      <c r="G60" s="11" t="s">
        <v>25</v>
      </c>
      <c r="H60" s="16" t="s">
        <v>21</v>
      </c>
      <c r="I60" s="5" t="s">
        <v>80</v>
      </c>
      <c r="J60" s="5" t="s">
        <v>35</v>
      </c>
      <c r="K60" s="5" t="s">
        <v>15</v>
      </c>
      <c r="L60" s="1"/>
      <c r="M60" s="1"/>
      <c r="N60" s="1"/>
      <c r="O60" s="1"/>
      <c r="P60" s="1"/>
      <c r="Q60" s="5"/>
      <c r="R60" s="1"/>
      <c r="S60" s="1"/>
      <c r="T60" s="1"/>
      <c r="U60" s="1"/>
      <c r="V60" s="1"/>
      <c r="W60" s="1"/>
      <c r="X60" s="1"/>
      <c r="Y60" s="1"/>
      <c r="Z60" s="1"/>
      <c r="AA60" s="1"/>
      <c r="AB60" s="1"/>
      <c r="AC60" s="1"/>
      <c r="AD60" s="1"/>
      <c r="AE60" s="1"/>
    </row>
    <row r="61" spans="1:31" ht="12.75" customHeight="1" x14ac:dyDescent="0.2">
      <c r="A61" s="1"/>
      <c r="B61" s="1"/>
      <c r="C61" s="1"/>
      <c r="D61" s="1"/>
      <c r="E61" s="1"/>
      <c r="F61" s="1"/>
      <c r="G61" s="1"/>
      <c r="H61" s="1"/>
      <c r="I61" s="5"/>
      <c r="J61" s="5"/>
      <c r="K61" s="5"/>
      <c r="L61" s="1"/>
      <c r="M61" s="1"/>
      <c r="N61" s="1"/>
      <c r="O61" s="1"/>
      <c r="P61" s="1"/>
      <c r="Q61" s="5"/>
      <c r="R61" s="1"/>
      <c r="S61" s="1"/>
      <c r="T61" s="1"/>
      <c r="U61" s="1"/>
      <c r="V61" s="1"/>
      <c r="W61" s="1"/>
      <c r="X61" s="1"/>
      <c r="Y61" s="1"/>
      <c r="Z61" s="1"/>
      <c r="AA61" s="1"/>
      <c r="AB61" s="1"/>
      <c r="AC61" s="1"/>
      <c r="AD61" s="1"/>
      <c r="AE61" s="1"/>
    </row>
    <row r="62" spans="1:31" ht="12.75" customHeight="1" x14ac:dyDescent="0.2">
      <c r="A62" s="1"/>
      <c r="B62" s="1" t="s">
        <v>362</v>
      </c>
      <c r="C62" s="1"/>
      <c r="D62" s="10" t="str">
        <f>VLOOKUP(F62,Format!G:H,2,FALSE)</f>
        <v>General news 1</v>
      </c>
      <c r="E62" s="10" t="str">
        <f>VLOOKUP(H62,Format!G:H,2,FALSE)</f>
        <v>General news 1</v>
      </c>
      <c r="F62" s="15" t="s">
        <v>21</v>
      </c>
      <c r="G62" s="11" t="s">
        <v>25</v>
      </c>
      <c r="H62" s="16" t="s">
        <v>21</v>
      </c>
      <c r="I62" s="5" t="s">
        <v>295</v>
      </c>
      <c r="J62" s="5" t="s">
        <v>363</v>
      </c>
      <c r="K62" s="5" t="s">
        <v>15</v>
      </c>
      <c r="L62" s="1"/>
      <c r="M62" s="1"/>
      <c r="N62" s="1"/>
      <c r="O62" s="1"/>
      <c r="P62" s="1"/>
      <c r="Q62" s="5"/>
      <c r="R62" s="1"/>
      <c r="S62" s="1"/>
      <c r="T62" s="1"/>
      <c r="U62" s="1"/>
      <c r="V62" s="1"/>
      <c r="W62" s="1"/>
      <c r="X62" s="1"/>
      <c r="Y62" s="1"/>
      <c r="Z62" s="1"/>
      <c r="AA62" s="1"/>
      <c r="AB62" s="1"/>
      <c r="AC62" s="1"/>
      <c r="AD62" s="1"/>
      <c r="AE62" s="1"/>
    </row>
    <row r="63" spans="1:31" ht="12.75" customHeight="1" x14ac:dyDescent="0.2">
      <c r="A63" s="1"/>
      <c r="B63" s="1" t="s">
        <v>364</v>
      </c>
      <c r="C63" s="1"/>
      <c r="D63" s="10" t="str">
        <f>VLOOKUP(F63,Format!G:H,2,FALSE)</f>
        <v xml:space="preserve">DIS Unknown </v>
      </c>
      <c r="E63" s="10" t="str">
        <f>VLOOKUP(H63,Format!G:H,2,FALSE)</f>
        <v>General news 1</v>
      </c>
      <c r="F63" s="15" t="s">
        <v>103</v>
      </c>
      <c r="G63" s="11" t="s">
        <v>25</v>
      </c>
      <c r="H63" s="16" t="s">
        <v>21</v>
      </c>
      <c r="I63" s="5" t="s">
        <v>80</v>
      </c>
      <c r="J63" s="5" t="s">
        <v>365</v>
      </c>
      <c r="K63" s="5" t="s">
        <v>15</v>
      </c>
      <c r="L63" s="1"/>
      <c r="M63" s="1"/>
      <c r="N63" s="1"/>
      <c r="O63" s="1"/>
      <c r="P63" s="1"/>
      <c r="Q63" s="5"/>
      <c r="R63" s="1"/>
      <c r="S63" s="1"/>
      <c r="T63" s="1"/>
      <c r="U63" s="1"/>
      <c r="V63" s="1"/>
      <c r="W63" s="1"/>
      <c r="X63" s="1"/>
      <c r="Y63" s="1"/>
      <c r="Z63" s="1"/>
      <c r="AA63" s="1"/>
      <c r="AB63" s="1"/>
      <c r="AC63" s="1"/>
      <c r="AD63" s="1"/>
      <c r="AE63" s="1"/>
    </row>
    <row r="64" spans="1:31" ht="12.75" customHeight="1" x14ac:dyDescent="0.2">
      <c r="A64" s="1" t="s">
        <v>366</v>
      </c>
      <c r="B64" s="1"/>
      <c r="C64" s="1"/>
      <c r="D64" s="1"/>
      <c r="E64" s="1"/>
      <c r="F64" s="1"/>
      <c r="G64" s="1"/>
      <c r="H64" s="1"/>
      <c r="I64" s="1"/>
      <c r="J64" s="1"/>
      <c r="K64" s="1"/>
      <c r="L64" s="1"/>
      <c r="M64" s="1"/>
      <c r="N64" s="1"/>
      <c r="O64" s="1"/>
      <c r="P64" s="1"/>
      <c r="Q64" s="5"/>
      <c r="R64" s="1"/>
      <c r="S64" s="1"/>
      <c r="T64" s="1"/>
      <c r="U64" s="1"/>
      <c r="V64" s="1"/>
      <c r="W64" s="1"/>
      <c r="X64" s="1"/>
      <c r="Y64" s="1"/>
      <c r="Z64" s="1"/>
      <c r="AA64" s="1"/>
      <c r="AB64" s="1"/>
      <c r="AC64" s="1"/>
      <c r="AD64" s="1"/>
      <c r="AE64" s="1"/>
    </row>
    <row r="65" spans="1:31" ht="15.75" customHeight="1" x14ac:dyDescent="0.25">
      <c r="A65" s="1" t="s">
        <v>367</v>
      </c>
      <c r="B65" s="6" t="s">
        <v>368</v>
      </c>
      <c r="C65" s="1"/>
      <c r="D65" s="1"/>
      <c r="E65" s="1"/>
      <c r="F65" s="1"/>
      <c r="G65" s="1"/>
      <c r="H65" s="1"/>
      <c r="I65" s="1"/>
      <c r="J65" s="1"/>
      <c r="K65" s="1"/>
      <c r="L65" s="1"/>
      <c r="M65" s="1"/>
      <c r="N65" s="1"/>
      <c r="O65" s="1"/>
      <c r="P65" s="1"/>
      <c r="Q65" s="5"/>
      <c r="R65" s="1"/>
      <c r="S65" s="1"/>
      <c r="T65" s="1"/>
      <c r="U65" s="1"/>
      <c r="V65" s="1"/>
      <c r="W65" s="1"/>
      <c r="X65" s="1"/>
      <c r="Y65" s="1"/>
      <c r="Z65" s="1"/>
      <c r="AA65" s="1"/>
      <c r="AB65" s="1"/>
      <c r="AC65" s="1"/>
      <c r="AD65" s="1"/>
      <c r="AE65" s="1"/>
    </row>
    <row r="66" spans="1:31" ht="12.75" customHeight="1" x14ac:dyDescent="0.2">
      <c r="A66" s="1" t="s">
        <v>369</v>
      </c>
      <c r="B66" s="1" t="s">
        <v>370</v>
      </c>
      <c r="C66" s="1" t="s">
        <v>371</v>
      </c>
      <c r="D66" s="10" t="str">
        <f>VLOOKUP(F66,Format!G:H,2,FALSE)</f>
        <v xml:space="preserve">DIS Unknown </v>
      </c>
      <c r="E66" s="10" t="str">
        <f>VLOOKUP(H66,Format!G:H,2,FALSE)</f>
        <v>General news 1</v>
      </c>
      <c r="F66" s="15" t="s">
        <v>103</v>
      </c>
      <c r="G66" s="11" t="s">
        <v>25</v>
      </c>
      <c r="H66" s="16" t="s">
        <v>21</v>
      </c>
      <c r="I66" s="5" t="s">
        <v>80</v>
      </c>
      <c r="J66" s="5" t="s">
        <v>41</v>
      </c>
      <c r="K66" s="5" t="s">
        <v>15</v>
      </c>
      <c r="L66" s="1"/>
      <c r="M66" s="1"/>
      <c r="N66" s="1"/>
      <c r="O66" s="1"/>
      <c r="P66" s="1"/>
      <c r="Q66" s="5"/>
      <c r="R66" s="1"/>
      <c r="S66" s="1"/>
      <c r="T66" s="1"/>
      <c r="U66" s="1"/>
      <c r="V66" s="1"/>
      <c r="W66" s="1"/>
      <c r="X66" s="1"/>
      <c r="Y66" s="1"/>
      <c r="Z66" s="1"/>
      <c r="AA66" s="1"/>
      <c r="AB66" s="1"/>
      <c r="AC66" s="1"/>
      <c r="AD66" s="1"/>
      <c r="AE66" s="1"/>
    </row>
    <row r="67" spans="1:31" ht="12.75" customHeight="1" x14ac:dyDescent="0.2">
      <c r="A67" s="1" t="s">
        <v>372</v>
      </c>
      <c r="B67" s="1" t="s">
        <v>373</v>
      </c>
      <c r="C67" s="1" t="s">
        <v>374</v>
      </c>
      <c r="D67" s="10" t="str">
        <f>VLOOKUP(F67,Format!G:H,2,FALSE)</f>
        <v xml:space="preserve">DIS Unknown </v>
      </c>
      <c r="E67" s="10" t="str">
        <f>VLOOKUP(H67,Format!G:H,2,FALSE)</f>
        <v>General news 1</v>
      </c>
      <c r="F67" s="15" t="s">
        <v>103</v>
      </c>
      <c r="G67" s="11" t="s">
        <v>25</v>
      </c>
      <c r="H67" s="16" t="s">
        <v>21</v>
      </c>
      <c r="I67" s="5" t="s">
        <v>80</v>
      </c>
      <c r="J67" s="5" t="s">
        <v>375</v>
      </c>
      <c r="K67" s="5" t="s">
        <v>15</v>
      </c>
      <c r="L67" s="1"/>
      <c r="M67" s="1"/>
      <c r="N67" s="1"/>
      <c r="O67" s="1"/>
      <c r="P67" s="1"/>
      <c r="Q67" s="5"/>
      <c r="R67" s="1"/>
      <c r="S67" s="1"/>
      <c r="T67" s="1"/>
      <c r="U67" s="1"/>
      <c r="V67" s="1"/>
      <c r="W67" s="1"/>
      <c r="X67" s="1"/>
      <c r="Y67" s="1"/>
      <c r="Z67" s="1"/>
      <c r="AA67" s="1"/>
      <c r="AB67" s="1"/>
      <c r="AC67" s="1"/>
      <c r="AD67" s="1"/>
      <c r="AE67" s="1"/>
    </row>
    <row r="68" spans="1:31" ht="12.75" customHeight="1" x14ac:dyDescent="0.2">
      <c r="A68" s="1"/>
      <c r="B68" s="1"/>
      <c r="C68" s="1"/>
      <c r="D68" s="1"/>
      <c r="E68" s="1"/>
      <c r="F68" s="1"/>
      <c r="G68" s="1"/>
      <c r="H68" s="1"/>
      <c r="I68" s="1"/>
      <c r="J68" s="1"/>
      <c r="K68" s="1"/>
      <c r="L68" s="1"/>
      <c r="M68" s="1"/>
      <c r="N68" s="1"/>
      <c r="O68" s="1"/>
      <c r="P68" s="1"/>
      <c r="Q68" s="5"/>
      <c r="R68" s="1"/>
      <c r="S68" s="1"/>
      <c r="T68" s="1"/>
      <c r="U68" s="1"/>
      <c r="V68" s="1"/>
      <c r="W68" s="1"/>
      <c r="X68" s="1"/>
      <c r="Y68" s="1"/>
      <c r="Z68" s="1"/>
      <c r="AA68" s="1"/>
      <c r="AB68" s="1"/>
      <c r="AC68" s="1"/>
      <c r="AD68" s="1"/>
      <c r="AE68" s="1"/>
    </row>
    <row r="69" spans="1:31" ht="12.75" customHeight="1" x14ac:dyDescent="0.2">
      <c r="A69" s="1"/>
      <c r="B69" s="1"/>
      <c r="C69" s="1"/>
      <c r="D69" s="1"/>
      <c r="E69" s="1"/>
      <c r="F69" s="1"/>
      <c r="G69" s="1"/>
      <c r="H69" s="1"/>
      <c r="I69" s="1"/>
      <c r="J69" s="1"/>
      <c r="K69" s="1"/>
      <c r="L69" s="1"/>
      <c r="M69" s="1"/>
      <c r="N69" s="1"/>
      <c r="O69" s="1"/>
      <c r="P69" s="1"/>
      <c r="Q69" s="5"/>
      <c r="R69" s="1"/>
      <c r="S69" s="1"/>
      <c r="T69" s="1"/>
      <c r="U69" s="1"/>
      <c r="V69" s="1"/>
      <c r="W69" s="1"/>
      <c r="X69" s="1"/>
      <c r="Y69" s="1"/>
      <c r="Z69" s="1"/>
      <c r="AA69" s="1"/>
      <c r="AB69" s="1"/>
      <c r="AC69" s="1"/>
      <c r="AD69" s="1"/>
      <c r="AE69" s="1"/>
    </row>
    <row r="70" spans="1:31" ht="15.75" customHeight="1" x14ac:dyDescent="0.25">
      <c r="A70" s="1" t="s">
        <v>376</v>
      </c>
      <c r="B70" s="6" t="s">
        <v>377</v>
      </c>
      <c r="C70" s="1"/>
      <c r="D70" s="1" t="s">
        <v>378</v>
      </c>
      <c r="E70" s="1"/>
      <c r="F70" s="1"/>
      <c r="G70" s="1"/>
      <c r="H70" s="1"/>
      <c r="I70" s="1"/>
      <c r="J70" s="1"/>
      <c r="K70" s="1"/>
      <c r="L70" s="1"/>
      <c r="M70" s="1"/>
      <c r="N70" s="1"/>
      <c r="O70" s="1"/>
      <c r="P70" s="1"/>
      <c r="Q70" s="5"/>
      <c r="R70" s="1"/>
      <c r="S70" s="1"/>
      <c r="T70" s="1"/>
      <c r="U70" s="1"/>
      <c r="V70" s="1"/>
      <c r="W70" s="1"/>
      <c r="X70" s="1"/>
      <c r="Y70" s="1"/>
      <c r="Z70" s="1"/>
      <c r="AA70" s="1"/>
      <c r="AB70" s="1"/>
      <c r="AC70" s="1"/>
      <c r="AD70" s="1"/>
      <c r="AE70" s="1"/>
    </row>
    <row r="71" spans="1:31" ht="12.75" customHeight="1" x14ac:dyDescent="0.2">
      <c r="A71" s="1"/>
      <c r="B71" s="52" t="s">
        <v>379</v>
      </c>
      <c r="C71" s="1"/>
      <c r="D71" s="10" t="str">
        <f>VLOOKUP(F71,Format!G:H,2,FALSE)</f>
        <v xml:space="preserve">DIS Unknown </v>
      </c>
      <c r="E71" s="10" t="str">
        <f>VLOOKUP(H71,Format!G:H,2,FALSE)</f>
        <v>Radio</v>
      </c>
      <c r="F71" s="15" t="s">
        <v>292</v>
      </c>
      <c r="G71" s="11" t="s">
        <v>13</v>
      </c>
      <c r="H71" s="16" t="s">
        <v>12</v>
      </c>
      <c r="I71" s="1">
        <v>0</v>
      </c>
      <c r="J71" s="13">
        <v>54</v>
      </c>
      <c r="K71" s="1"/>
      <c r="L71" s="1"/>
      <c r="M71" s="1"/>
      <c r="N71" s="1"/>
      <c r="O71" s="1"/>
      <c r="P71" s="1"/>
      <c r="Q71" s="5"/>
      <c r="R71" s="1"/>
      <c r="S71" s="1"/>
      <c r="T71" s="1"/>
      <c r="U71" s="1"/>
      <c r="V71" s="1"/>
      <c r="W71" s="1"/>
      <c r="X71" s="1"/>
      <c r="Y71" s="1"/>
      <c r="Z71" s="1"/>
      <c r="AA71" s="1"/>
      <c r="AB71" s="1"/>
      <c r="AC71" s="1"/>
      <c r="AD71" s="1"/>
      <c r="AE71" s="1"/>
    </row>
    <row r="72" spans="1:31" ht="12.75" customHeight="1" x14ac:dyDescent="0.2">
      <c r="A72" s="1"/>
      <c r="B72" s="52" t="s">
        <v>380</v>
      </c>
      <c r="C72" s="1"/>
      <c r="D72" s="10" t="str">
        <f>VLOOKUP(F72,Format!G:H,2,FALSE)</f>
        <v>Radio</v>
      </c>
      <c r="E72" s="10" t="str">
        <f>VLOOKUP(H72,Format!G:H,2,FALSE)</f>
        <v xml:space="preserve">DIS Unknown </v>
      </c>
      <c r="F72" s="15" t="s">
        <v>12</v>
      </c>
      <c r="G72" s="11">
        <v>11</v>
      </c>
      <c r="H72" s="16" t="s">
        <v>103</v>
      </c>
      <c r="I72" s="1" t="s">
        <v>381</v>
      </c>
      <c r="J72" s="1">
        <v>86</v>
      </c>
      <c r="K72" s="1">
        <v>91</v>
      </c>
      <c r="L72" s="1">
        <v>57</v>
      </c>
      <c r="M72" s="1">
        <v>9</v>
      </c>
      <c r="N72" s="1">
        <v>51</v>
      </c>
      <c r="O72" s="1">
        <v>1</v>
      </c>
      <c r="P72" s="1">
        <v>33</v>
      </c>
      <c r="Q72" s="5" t="s">
        <v>168</v>
      </c>
      <c r="R72" s="1">
        <v>22</v>
      </c>
      <c r="S72" s="1">
        <v>2</v>
      </c>
      <c r="T72" s="1">
        <v>16</v>
      </c>
      <c r="U72" s="1">
        <v>50</v>
      </c>
      <c r="V72" s="1">
        <v>30</v>
      </c>
      <c r="W72" s="1">
        <v>31</v>
      </c>
      <c r="X72" s="13" t="s">
        <v>382</v>
      </c>
      <c r="Y72" s="1"/>
      <c r="Z72" s="1"/>
      <c r="AA72" s="1"/>
      <c r="AB72" s="1"/>
      <c r="AC72" s="1"/>
      <c r="AD72" s="1"/>
      <c r="AE72" s="1"/>
    </row>
    <row r="73" spans="1:31" ht="12.75" customHeight="1" x14ac:dyDescent="0.2">
      <c r="A73" s="1"/>
      <c r="B73" s="52"/>
      <c r="C73" s="1"/>
      <c r="D73" s="1"/>
      <c r="E73" s="1"/>
      <c r="F73" s="15" t="s">
        <v>12</v>
      </c>
      <c r="G73" s="11" t="s">
        <v>18</v>
      </c>
      <c r="H73" s="16" t="s">
        <v>19</v>
      </c>
      <c r="I73" s="1" t="s">
        <v>20</v>
      </c>
      <c r="J73" s="12" t="s">
        <v>21</v>
      </c>
      <c r="K73" s="13" t="s">
        <v>22</v>
      </c>
      <c r="L73" s="1"/>
      <c r="M73" s="1"/>
      <c r="N73" s="1"/>
      <c r="O73" s="1"/>
      <c r="P73" s="1"/>
      <c r="Q73" s="5"/>
      <c r="R73" s="1"/>
      <c r="S73" s="1"/>
      <c r="T73" s="1"/>
      <c r="U73" s="1"/>
      <c r="V73" s="1"/>
      <c r="W73" s="1"/>
      <c r="X73" s="13"/>
      <c r="Y73" s="1"/>
      <c r="Z73" s="1"/>
      <c r="AA73" s="1"/>
      <c r="AB73" s="1"/>
      <c r="AC73" s="1"/>
      <c r="AD73" s="1"/>
      <c r="AE73" s="1"/>
    </row>
    <row r="74" spans="1:31" ht="12.75" customHeight="1" x14ac:dyDescent="0.2">
      <c r="A74" s="1" t="s">
        <v>383</v>
      </c>
      <c r="B74" s="1" t="s">
        <v>384</v>
      </c>
      <c r="C74" s="1"/>
      <c r="D74" s="10" t="str">
        <f>VLOOKUP(F74,Format!G:H,2,FALSE)</f>
        <v>Radio</v>
      </c>
      <c r="E74" s="10" t="str">
        <f>VLOOKUP(H74,Format!G:H,2,FALSE)</f>
        <v>IKE</v>
      </c>
      <c r="F74" s="15" t="s">
        <v>12</v>
      </c>
      <c r="G74" s="11">
        <v>5</v>
      </c>
      <c r="H74" s="16">
        <v>80</v>
      </c>
      <c r="I74" s="1">
        <v>41</v>
      </c>
      <c r="J74" s="1">
        <v>1</v>
      </c>
      <c r="K74" s="1">
        <v>1</v>
      </c>
      <c r="L74" s="13" t="s">
        <v>385</v>
      </c>
      <c r="M74" s="1"/>
      <c r="N74" s="1"/>
      <c r="O74" s="1"/>
      <c r="P74" s="1"/>
      <c r="Q74" s="5"/>
      <c r="R74" s="1"/>
      <c r="S74" s="1"/>
      <c r="T74" s="1" t="s">
        <v>386</v>
      </c>
      <c r="U74" s="1"/>
      <c r="V74" s="1"/>
      <c r="W74" s="1"/>
      <c r="X74" s="1"/>
      <c r="Y74" s="1"/>
      <c r="Z74" s="1"/>
      <c r="AA74" s="1"/>
      <c r="AB74" s="1"/>
      <c r="AC74" s="1"/>
      <c r="AD74" s="1"/>
      <c r="AE74" s="1"/>
    </row>
    <row r="75" spans="1:31" ht="12.75" customHeight="1" x14ac:dyDescent="0.2">
      <c r="A75" s="1"/>
      <c r="B75" s="1"/>
      <c r="C75" s="1"/>
      <c r="D75" s="10" t="str">
        <f>VLOOKUP(F75,Format!G:H,2,FALSE)</f>
        <v>Radio</v>
      </c>
      <c r="E75" s="10" t="str">
        <f>VLOOKUP(H75,Format!G:H,2,FALSE)</f>
        <v>CDCD</v>
      </c>
      <c r="F75" s="7" t="s">
        <v>12</v>
      </c>
      <c r="G75" s="8">
        <v>3</v>
      </c>
      <c r="H75" s="9" t="s">
        <v>328</v>
      </c>
      <c r="I75" s="1">
        <v>1</v>
      </c>
      <c r="J75" s="13" t="s">
        <v>387</v>
      </c>
      <c r="K75" s="1"/>
      <c r="L75" s="1"/>
      <c r="M75" s="1"/>
      <c r="N75" s="1"/>
      <c r="O75" s="1"/>
      <c r="P75" s="1"/>
      <c r="Q75" s="1"/>
      <c r="R75" s="1"/>
      <c r="S75" s="1"/>
      <c r="T75" s="1"/>
      <c r="U75" s="1"/>
      <c r="V75" s="1"/>
      <c r="W75" s="1"/>
      <c r="X75" s="1"/>
      <c r="Y75" s="1"/>
      <c r="Z75" s="1"/>
      <c r="AA75" s="1"/>
      <c r="AB75" s="1"/>
      <c r="AC75" s="1"/>
      <c r="AD75" s="1"/>
      <c r="AE75" s="1"/>
    </row>
    <row r="76" spans="1:31" ht="12.75" customHeight="1" x14ac:dyDescent="0.2">
      <c r="A76" s="1"/>
      <c r="B76" s="52" t="s">
        <v>388</v>
      </c>
      <c r="C76" s="1"/>
      <c r="D76" s="10" t="str">
        <f>VLOOKUP(F76,Format!G:H,2,FALSE)</f>
        <v>Radio</v>
      </c>
      <c r="E76" s="10" t="str">
        <f>VLOOKUP(H76,Format!G:H,2,FALSE)</f>
        <v>CD player</v>
      </c>
      <c r="F76" s="7" t="s">
        <v>12</v>
      </c>
      <c r="G76" s="11">
        <v>5</v>
      </c>
      <c r="H76" s="16" t="s">
        <v>14</v>
      </c>
      <c r="I76" s="1">
        <v>1</v>
      </c>
      <c r="J76" s="13">
        <v>72</v>
      </c>
      <c r="K76" s="1"/>
      <c r="L76" s="1"/>
      <c r="M76" s="1"/>
      <c r="N76" s="1"/>
      <c r="O76" s="1"/>
      <c r="P76" s="1"/>
      <c r="Q76" s="1"/>
      <c r="R76" s="1"/>
      <c r="S76" s="1"/>
      <c r="T76" s="1"/>
      <c r="U76" s="1"/>
      <c r="V76" s="1"/>
      <c r="W76" s="1"/>
      <c r="X76" s="1"/>
      <c r="Y76" s="1"/>
      <c r="Z76" s="1"/>
      <c r="AA76" s="1"/>
      <c r="AB76" s="1"/>
      <c r="AC76" s="1"/>
      <c r="AD76" s="1"/>
      <c r="AE76" s="1"/>
    </row>
    <row r="77" spans="1:31" ht="12.75" customHeight="1" x14ac:dyDescent="0.2">
      <c r="A77" s="1"/>
      <c r="B77" s="52" t="s">
        <v>389</v>
      </c>
      <c r="C77" s="1"/>
      <c r="D77" s="10" t="str">
        <f>VLOOKUP(F77,Format!G:H,2,FALSE)</f>
        <v>Radio</v>
      </c>
      <c r="E77" s="10" t="str">
        <f>VLOOKUP(H77,Format!G:H,2,FALSE)</f>
        <v>CD player</v>
      </c>
      <c r="F77" s="7" t="s">
        <v>12</v>
      </c>
      <c r="G77" s="11">
        <v>5</v>
      </c>
      <c r="H77" s="16" t="s">
        <v>14</v>
      </c>
      <c r="I77" s="1">
        <v>38</v>
      </c>
      <c r="J77" s="1">
        <v>1</v>
      </c>
      <c r="K77" s="1">
        <v>0</v>
      </c>
      <c r="L77" s="13" t="s">
        <v>32</v>
      </c>
      <c r="M77" s="1"/>
      <c r="N77" s="1" t="s">
        <v>31</v>
      </c>
      <c r="O77" s="1"/>
      <c r="P77" s="1"/>
      <c r="Q77" s="1"/>
      <c r="R77" s="1"/>
      <c r="S77" s="1"/>
      <c r="T77" s="1"/>
      <c r="U77" s="1"/>
      <c r="V77" s="1"/>
      <c r="W77" s="1"/>
      <c r="X77" s="1"/>
      <c r="Y77" s="1"/>
      <c r="Z77" s="1"/>
      <c r="AA77" s="1"/>
      <c r="AB77" s="1"/>
      <c r="AC77" s="1"/>
      <c r="AD77" s="1"/>
      <c r="AE77" s="1"/>
    </row>
    <row r="78" spans="1:31"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2.75" customHeight="1" x14ac:dyDescent="0.2">
      <c r="A80" s="1" t="s">
        <v>390</v>
      </c>
      <c r="B80" s="1" t="s">
        <v>391</v>
      </c>
      <c r="C80" s="1" t="s">
        <v>392</v>
      </c>
      <c r="D80" s="10" t="str">
        <f>VLOOKUP(F80,Format!G:H,2,FALSE)</f>
        <v>Radio</v>
      </c>
      <c r="E80" s="10" t="str">
        <f>VLOOKUP(H80,Format!G:H,2,FALSE)</f>
        <v>CD player</v>
      </c>
      <c r="F80" s="15" t="s">
        <v>12</v>
      </c>
      <c r="G80" s="11" t="s">
        <v>25</v>
      </c>
      <c r="H80" s="16" t="s">
        <v>14</v>
      </c>
      <c r="I80" s="5" t="s">
        <v>26</v>
      </c>
      <c r="J80" s="5" t="s">
        <v>13</v>
      </c>
      <c r="K80" s="5" t="s">
        <v>21</v>
      </c>
      <c r="L80" s="1"/>
      <c r="M80" s="1"/>
      <c r="N80" s="1"/>
      <c r="O80" s="1"/>
      <c r="P80" s="1"/>
      <c r="Q80" s="5"/>
      <c r="R80" s="1"/>
      <c r="S80" s="1"/>
      <c r="T80" s="1"/>
      <c r="U80" s="1"/>
      <c r="V80" s="1"/>
      <c r="W80" s="1"/>
      <c r="X80" s="1"/>
      <c r="Y80" s="1"/>
      <c r="Z80" s="1"/>
      <c r="AA80" s="1"/>
      <c r="AB80" s="1"/>
      <c r="AC80" s="1"/>
      <c r="AD80" s="1"/>
      <c r="AE80" s="1"/>
    </row>
    <row r="81" spans="1:31" ht="12.75" customHeight="1" x14ac:dyDescent="0.2">
      <c r="A81" s="1" t="s">
        <v>393</v>
      </c>
      <c r="B81" s="1" t="s">
        <v>394</v>
      </c>
      <c r="C81" s="1" t="s">
        <v>395</v>
      </c>
      <c r="D81" s="10" t="str">
        <f>VLOOKUP(F81,Format!G:H,2,FALSE)</f>
        <v>Radio</v>
      </c>
      <c r="E81" s="10" t="str">
        <f>VLOOKUP(H81,Format!G:H,2,FALSE)</f>
        <v>CD player</v>
      </c>
      <c r="F81" s="15" t="s">
        <v>12</v>
      </c>
      <c r="G81" s="11" t="s">
        <v>25</v>
      </c>
      <c r="H81" s="16" t="s">
        <v>14</v>
      </c>
      <c r="I81" s="5" t="s">
        <v>26</v>
      </c>
      <c r="J81" s="5" t="s">
        <v>15</v>
      </c>
      <c r="K81" s="5" t="s">
        <v>21</v>
      </c>
      <c r="L81" s="13" t="s">
        <v>32</v>
      </c>
      <c r="M81" s="1"/>
      <c r="N81" s="1"/>
      <c r="O81" s="1"/>
      <c r="P81" s="1"/>
      <c r="Q81" s="5"/>
      <c r="R81" s="1"/>
      <c r="S81" s="1"/>
      <c r="T81" s="1"/>
      <c r="U81" s="1"/>
      <c r="V81" s="1"/>
      <c r="W81" s="1"/>
      <c r="X81" s="1"/>
      <c r="Y81" s="1"/>
      <c r="Z81" s="1"/>
      <c r="AA81" s="1"/>
      <c r="AB81" s="1"/>
      <c r="AC81" s="1"/>
      <c r="AD81" s="1"/>
      <c r="AE81" s="1"/>
    </row>
    <row r="82" spans="1:31" ht="12.75" customHeight="1" x14ac:dyDescent="0.2">
      <c r="A82" s="1" t="s">
        <v>396</v>
      </c>
      <c r="B82" s="1" t="s">
        <v>396</v>
      </c>
      <c r="C82" s="1"/>
      <c r="D82" s="1"/>
      <c r="E82" s="1"/>
      <c r="F82" s="1"/>
      <c r="G82" s="1"/>
      <c r="H82" s="1"/>
      <c r="I82" s="1"/>
      <c r="J82" s="1"/>
      <c r="K82" s="1"/>
      <c r="L82" s="1"/>
      <c r="M82" s="1"/>
      <c r="N82" s="1"/>
      <c r="O82" s="1"/>
      <c r="P82" s="1"/>
      <c r="Q82" s="5"/>
      <c r="R82" s="1"/>
      <c r="S82" s="1"/>
      <c r="T82" s="1"/>
      <c r="U82" s="1"/>
      <c r="V82" s="1"/>
      <c r="W82" s="1"/>
      <c r="X82" s="1"/>
      <c r="Y82" s="1"/>
      <c r="Z82" s="1"/>
      <c r="AA82" s="1"/>
      <c r="AB82" s="1"/>
      <c r="AC82" s="1"/>
      <c r="AD82" s="1"/>
      <c r="AE82" s="1"/>
    </row>
    <row r="83" spans="1:31" ht="12.75" customHeight="1" x14ac:dyDescent="0.2">
      <c r="A83" s="1" t="s">
        <v>397</v>
      </c>
      <c r="B83" s="1" t="s">
        <v>398</v>
      </c>
      <c r="C83" s="1" t="s">
        <v>399</v>
      </c>
      <c r="D83" s="10" t="str">
        <f>VLOOKUP(F83,Format!G:H,2,FALSE)</f>
        <v>Radio</v>
      </c>
      <c r="E83" s="10" t="str">
        <f>VLOOKUP(H83,Format!G:H,2,FALSE)</f>
        <v>CD player</v>
      </c>
      <c r="F83" s="15" t="s">
        <v>12</v>
      </c>
      <c r="G83" s="11" t="s">
        <v>25</v>
      </c>
      <c r="H83" s="16" t="s">
        <v>14</v>
      </c>
      <c r="I83" s="5" t="s">
        <v>26</v>
      </c>
      <c r="J83" s="5" t="s">
        <v>46</v>
      </c>
      <c r="K83" s="1" t="s">
        <v>21</v>
      </c>
      <c r="L83" s="1"/>
      <c r="M83" s="1"/>
      <c r="N83" s="1"/>
      <c r="O83" s="1"/>
      <c r="P83" s="1"/>
      <c r="Q83" s="5"/>
      <c r="R83" s="1"/>
      <c r="S83" s="1"/>
      <c r="T83" s="1"/>
      <c r="U83" s="1"/>
      <c r="V83" s="1"/>
      <c r="W83" s="1"/>
      <c r="X83" s="1"/>
      <c r="Y83" s="1"/>
      <c r="Z83" s="1"/>
      <c r="AA83" s="1"/>
      <c r="AB83" s="1"/>
      <c r="AC83" s="1"/>
      <c r="AD83" s="1"/>
      <c r="AE83" s="1"/>
    </row>
    <row r="84" spans="1:31" ht="12.75" customHeight="1" x14ac:dyDescent="0.2">
      <c r="A84" s="1"/>
      <c r="B84" s="1"/>
      <c r="C84" s="1"/>
      <c r="D84" s="1"/>
      <c r="E84" s="1"/>
      <c r="F84" s="1"/>
      <c r="G84" s="1"/>
      <c r="H84" s="1"/>
      <c r="I84" s="1"/>
      <c r="J84" s="1"/>
      <c r="K84" s="1"/>
      <c r="L84" s="1"/>
      <c r="M84" s="1"/>
      <c r="N84" s="1"/>
      <c r="O84" s="1"/>
      <c r="P84" s="1"/>
      <c r="Q84" s="5"/>
      <c r="R84" s="1"/>
      <c r="S84" s="1"/>
      <c r="T84" s="1"/>
      <c r="U84" s="1"/>
      <c r="V84" s="1"/>
      <c r="W84" s="1"/>
      <c r="X84" s="1"/>
      <c r="Y84" s="1"/>
      <c r="Z84" s="1"/>
      <c r="AA84" s="1"/>
      <c r="AB84" s="1"/>
      <c r="AC84" s="1"/>
      <c r="AD84" s="1"/>
      <c r="AE84" s="1"/>
    </row>
    <row r="85" spans="1:31" ht="12.75" customHeight="1" x14ac:dyDescent="0.2">
      <c r="A85" s="1" t="s">
        <v>400</v>
      </c>
      <c r="B85" s="1" t="s">
        <v>11</v>
      </c>
      <c r="C85" s="1" t="s">
        <v>401</v>
      </c>
      <c r="D85" s="10" t="str">
        <f>VLOOKUP(F85,Format!G:H,2,FALSE)</f>
        <v>Radio</v>
      </c>
      <c r="E85" s="10" t="str">
        <f>VLOOKUP(H85,Format!G:H,2,FALSE)</f>
        <v>CD player</v>
      </c>
      <c r="F85" s="15" t="s">
        <v>12</v>
      </c>
      <c r="G85" s="11" t="s">
        <v>13</v>
      </c>
      <c r="H85" s="16" t="s">
        <v>14</v>
      </c>
      <c r="I85" s="5" t="s">
        <v>15</v>
      </c>
      <c r="J85" s="5"/>
      <c r="K85" s="1"/>
      <c r="L85" s="1"/>
      <c r="M85" s="1"/>
      <c r="N85" s="1"/>
      <c r="O85" s="1"/>
      <c r="P85" s="1"/>
      <c r="Q85" s="5"/>
      <c r="R85" s="1"/>
      <c r="S85" s="1"/>
      <c r="T85" s="1"/>
      <c r="U85" s="1"/>
      <c r="V85" s="1"/>
      <c r="W85" s="1"/>
      <c r="X85" s="1"/>
      <c r="Y85" s="1"/>
      <c r="Z85" s="1"/>
      <c r="AA85" s="1"/>
      <c r="AB85" s="1"/>
      <c r="AC85" s="1"/>
      <c r="AD85" s="1"/>
      <c r="AE85" s="1"/>
    </row>
    <row r="86" spans="1:31" ht="12.75" customHeight="1" x14ac:dyDescent="0.2">
      <c r="A86" s="1" t="s">
        <v>402</v>
      </c>
      <c r="B86" s="1" t="s">
        <v>24</v>
      </c>
      <c r="C86" s="1" t="s">
        <v>403</v>
      </c>
      <c r="D86" s="10" t="str">
        <f>VLOOKUP(F86,Format!G:H,2,FALSE)</f>
        <v>Radio</v>
      </c>
      <c r="E86" s="10" t="str">
        <f>VLOOKUP(H86,Format!G:H,2,FALSE)</f>
        <v>CD player</v>
      </c>
      <c r="F86" s="15" t="s">
        <v>12</v>
      </c>
      <c r="G86" s="11" t="s">
        <v>25</v>
      </c>
      <c r="H86" s="16" t="s">
        <v>14</v>
      </c>
      <c r="I86" s="5" t="s">
        <v>26</v>
      </c>
      <c r="J86" s="5" t="s">
        <v>21</v>
      </c>
      <c r="K86" s="5" t="s">
        <v>21</v>
      </c>
      <c r="L86" s="5"/>
      <c r="M86" s="1"/>
      <c r="N86" s="1"/>
      <c r="O86" s="1"/>
      <c r="P86" s="1"/>
      <c r="Q86" s="5"/>
      <c r="R86" s="1"/>
      <c r="S86" s="1"/>
      <c r="T86" s="1"/>
      <c r="U86" s="1"/>
      <c r="V86" s="1"/>
      <c r="W86" s="1"/>
      <c r="X86" s="1"/>
      <c r="Y86" s="1"/>
      <c r="Z86" s="1"/>
      <c r="AA86" s="1"/>
      <c r="AB86" s="1"/>
      <c r="AC86" s="1"/>
      <c r="AD86" s="1"/>
      <c r="AE86" s="1"/>
    </row>
    <row r="87" spans="1:31" ht="15.75" customHeight="1" x14ac:dyDescent="0.25">
      <c r="A87" s="1" t="s">
        <v>404</v>
      </c>
      <c r="B87" s="6" t="s">
        <v>9</v>
      </c>
      <c r="C87" s="1"/>
      <c r="D87" s="1"/>
      <c r="E87" s="1"/>
      <c r="F87" s="1"/>
      <c r="G87" s="1"/>
      <c r="H87" s="1"/>
      <c r="I87" s="1"/>
      <c r="J87" s="1"/>
      <c r="K87" s="1"/>
      <c r="L87" s="1"/>
      <c r="M87" s="1"/>
      <c r="N87" s="1"/>
      <c r="O87" s="1"/>
      <c r="P87" s="1"/>
      <c r="Q87" s="5"/>
      <c r="R87" s="1"/>
      <c r="S87" s="1"/>
      <c r="T87" s="1"/>
      <c r="U87" s="1"/>
      <c r="V87" s="1"/>
      <c r="W87" s="1"/>
      <c r="X87" s="1"/>
      <c r="Y87" s="1"/>
      <c r="Z87" s="1"/>
      <c r="AA87" s="1"/>
      <c r="AB87" s="1"/>
      <c r="AC87" s="1"/>
      <c r="AD87" s="1"/>
      <c r="AE87" s="1"/>
    </row>
    <row r="88" spans="1:31" ht="15.75" customHeight="1" x14ac:dyDescent="0.25">
      <c r="A88" s="1"/>
      <c r="B88" s="6" t="s">
        <v>405</v>
      </c>
      <c r="C88" s="1"/>
      <c r="D88" s="1"/>
      <c r="E88" s="1"/>
      <c r="F88" s="15">
        <v>68</v>
      </c>
      <c r="G88" s="11">
        <v>4</v>
      </c>
      <c r="H88" s="16" t="s">
        <v>19</v>
      </c>
      <c r="I88" s="1" t="s">
        <v>20</v>
      </c>
      <c r="J88" s="1">
        <v>0</v>
      </c>
      <c r="K88" s="13" t="s">
        <v>22</v>
      </c>
      <c r="L88" s="1"/>
      <c r="M88" s="1"/>
      <c r="N88" s="1"/>
      <c r="O88" s="1"/>
      <c r="P88" s="1"/>
      <c r="Q88" s="5"/>
      <c r="R88" s="1"/>
      <c r="S88" s="1"/>
      <c r="T88" s="1"/>
      <c r="U88" s="1"/>
      <c r="V88" s="1"/>
      <c r="W88" s="1"/>
      <c r="X88" s="1"/>
      <c r="Y88" s="1"/>
      <c r="Z88" s="1"/>
      <c r="AA88" s="1"/>
      <c r="AB88" s="1"/>
      <c r="AC88" s="1"/>
      <c r="AD88" s="1"/>
      <c r="AE88" s="1"/>
    </row>
    <row r="89" spans="1:31" ht="15.75" customHeight="1" x14ac:dyDescent="0.25">
      <c r="A89" s="1"/>
      <c r="B89" s="6"/>
      <c r="C89" s="1"/>
      <c r="D89" s="1"/>
      <c r="E89" s="1"/>
      <c r="F89" s="53">
        <v>68</v>
      </c>
      <c r="G89" s="11" t="s">
        <v>13</v>
      </c>
      <c r="H89" s="16">
        <v>18</v>
      </c>
      <c r="I89" s="1">
        <v>1</v>
      </c>
      <c r="J89" s="13">
        <v>72</v>
      </c>
      <c r="K89" s="1"/>
      <c r="L89" s="1"/>
      <c r="M89" s="1"/>
      <c r="N89" s="1"/>
      <c r="O89" s="1" t="s">
        <v>16</v>
      </c>
      <c r="P89" s="1"/>
      <c r="Q89" s="5"/>
      <c r="R89" s="1"/>
      <c r="S89" s="1"/>
      <c r="T89" s="1"/>
      <c r="U89" s="1"/>
      <c r="V89" s="1"/>
      <c r="W89" s="1"/>
      <c r="X89" s="1"/>
      <c r="Y89" s="1"/>
      <c r="Z89" s="1"/>
      <c r="AA89" s="1"/>
      <c r="AB89" s="1"/>
      <c r="AC89" s="1"/>
      <c r="AD89" s="1"/>
      <c r="AE89" s="1"/>
    </row>
    <row r="90" spans="1:31" ht="15.75" customHeight="1" x14ac:dyDescent="0.25">
      <c r="A90" s="1"/>
      <c r="B90" s="6"/>
      <c r="C90" s="1"/>
      <c r="D90" s="1"/>
      <c r="E90" s="1"/>
      <c r="F90" s="1"/>
      <c r="G90" s="1"/>
      <c r="H90" s="1"/>
      <c r="I90" s="1"/>
      <c r="J90" s="1"/>
      <c r="K90" s="1"/>
      <c r="L90" s="1"/>
      <c r="M90" s="1"/>
      <c r="N90" s="1"/>
      <c r="O90" s="1"/>
      <c r="P90" s="1"/>
      <c r="Q90" s="5"/>
      <c r="R90" s="1"/>
      <c r="S90" s="1"/>
      <c r="T90" s="1"/>
      <c r="U90" s="1"/>
      <c r="V90" s="1"/>
      <c r="W90" s="1"/>
      <c r="X90" s="1"/>
      <c r="Y90" s="1"/>
      <c r="Z90" s="1"/>
      <c r="AA90" s="1"/>
      <c r="AB90" s="1"/>
      <c r="AC90" s="1"/>
      <c r="AD90" s="1"/>
      <c r="AE90" s="1"/>
    </row>
    <row r="91" spans="1:31" ht="12.75" customHeight="1" x14ac:dyDescent="0.2">
      <c r="A91" s="1" t="s">
        <v>406</v>
      </c>
      <c r="B91" s="1" t="s">
        <v>45</v>
      </c>
      <c r="C91" s="1" t="s">
        <v>407</v>
      </c>
      <c r="D91" s="10" t="str">
        <f>VLOOKUP(F91,Format!G:H,2,FALSE)</f>
        <v>Radio</v>
      </c>
      <c r="E91" s="10" t="str">
        <f>VLOOKUP(H91,Format!G:H,2,FALSE)</f>
        <v>CD player</v>
      </c>
      <c r="F91" s="15" t="s">
        <v>12</v>
      </c>
      <c r="G91" s="11" t="s">
        <v>25</v>
      </c>
      <c r="H91" s="16" t="s">
        <v>14</v>
      </c>
      <c r="I91" s="5" t="s">
        <v>26</v>
      </c>
      <c r="J91" s="5" t="s">
        <v>46</v>
      </c>
      <c r="K91" s="5" t="s">
        <v>15</v>
      </c>
      <c r="L91" s="1"/>
      <c r="M91" s="1"/>
      <c r="N91" s="1"/>
      <c r="O91" s="1"/>
      <c r="P91" s="1"/>
      <c r="Q91" s="5"/>
      <c r="R91" s="1"/>
      <c r="S91" s="1"/>
      <c r="T91" s="1"/>
      <c r="U91" s="1"/>
      <c r="V91" s="1"/>
      <c r="W91" s="1"/>
      <c r="X91" s="1"/>
      <c r="Y91" s="1"/>
      <c r="Z91" s="1"/>
      <c r="AA91" s="1"/>
      <c r="AB91" s="1"/>
      <c r="AC91" s="1"/>
      <c r="AD91" s="1"/>
      <c r="AE91" s="1"/>
    </row>
    <row r="92" spans="1:31" ht="12.75" customHeight="1" x14ac:dyDescent="0.2">
      <c r="A92" s="1" t="s">
        <v>408</v>
      </c>
      <c r="B92" s="1" t="s">
        <v>48</v>
      </c>
      <c r="C92" s="1" t="s">
        <v>409</v>
      </c>
      <c r="D92" s="10" t="str">
        <f>VLOOKUP(F92,Format!G:H,2,FALSE)</f>
        <v>Radio</v>
      </c>
      <c r="E92" s="10" t="str">
        <f>VLOOKUP(H92,Format!G:H,2,FALSE)</f>
        <v>CD player</v>
      </c>
      <c r="F92" s="15" t="s">
        <v>12</v>
      </c>
      <c r="G92" s="11" t="s">
        <v>25</v>
      </c>
      <c r="H92" s="16" t="s">
        <v>14</v>
      </c>
      <c r="I92" s="5" t="s">
        <v>26</v>
      </c>
      <c r="J92" s="5" t="s">
        <v>46</v>
      </c>
      <c r="K92" s="5" t="s">
        <v>35</v>
      </c>
      <c r="L92" s="1"/>
      <c r="M92" s="1"/>
      <c r="N92" s="1"/>
      <c r="O92" s="1"/>
      <c r="P92" s="1"/>
      <c r="Q92" s="5"/>
      <c r="R92" s="1"/>
      <c r="S92" s="1"/>
      <c r="T92" s="1"/>
      <c r="U92" s="1"/>
      <c r="V92" s="1"/>
      <c r="W92" s="1"/>
      <c r="X92" s="1"/>
      <c r="Y92" s="1"/>
      <c r="Z92" s="1"/>
      <c r="AA92" s="1"/>
      <c r="AB92" s="1"/>
      <c r="AC92" s="1"/>
      <c r="AD92" s="1"/>
      <c r="AE92" s="1"/>
    </row>
    <row r="93" spans="1:31" ht="12.75" customHeight="1" x14ac:dyDescent="0.2">
      <c r="A93" s="1" t="s">
        <v>410</v>
      </c>
      <c r="B93" s="1" t="s">
        <v>49</v>
      </c>
      <c r="C93" s="1" t="s">
        <v>411</v>
      </c>
      <c r="D93" s="10" t="str">
        <f>VLOOKUP(F93,Format!G:H,2,FALSE)</f>
        <v>Radio</v>
      </c>
      <c r="E93" s="10" t="str">
        <f>VLOOKUP(H93,Format!G:H,2,FALSE)</f>
        <v>CD player</v>
      </c>
      <c r="F93" s="15" t="s">
        <v>12</v>
      </c>
      <c r="G93" s="11" t="s">
        <v>25</v>
      </c>
      <c r="H93" s="16" t="s">
        <v>14</v>
      </c>
      <c r="I93" s="5" t="s">
        <v>26</v>
      </c>
      <c r="J93" s="5" t="s">
        <v>46</v>
      </c>
      <c r="K93" s="5" t="s">
        <v>13</v>
      </c>
      <c r="L93" s="1"/>
      <c r="M93" s="1"/>
      <c r="N93" s="1"/>
      <c r="O93" s="1"/>
      <c r="P93" s="1"/>
      <c r="Q93" s="5"/>
      <c r="R93" s="1"/>
      <c r="S93" s="1"/>
      <c r="T93" s="1"/>
      <c r="U93" s="1"/>
      <c r="V93" s="1"/>
      <c r="W93" s="1"/>
      <c r="X93" s="1"/>
      <c r="Y93" s="1"/>
      <c r="Z93" s="1"/>
      <c r="AA93" s="1"/>
      <c r="AB93" s="1"/>
      <c r="AC93" s="1"/>
      <c r="AD93" s="1"/>
      <c r="AE93" s="1"/>
    </row>
    <row r="94" spans="1:31" ht="12.75" customHeight="1" x14ac:dyDescent="0.2">
      <c r="A94" s="1" t="s">
        <v>412</v>
      </c>
      <c r="B94" s="1" t="s">
        <v>50</v>
      </c>
      <c r="C94" s="1" t="s">
        <v>413</v>
      </c>
      <c r="D94" s="10" t="str">
        <f>VLOOKUP(F94,Format!G:H,2,FALSE)</f>
        <v>Radio</v>
      </c>
      <c r="E94" s="10" t="str">
        <f>VLOOKUP(H94,Format!G:H,2,FALSE)</f>
        <v>CD player</v>
      </c>
      <c r="F94" s="15" t="s">
        <v>12</v>
      </c>
      <c r="G94" s="11" t="s">
        <v>25</v>
      </c>
      <c r="H94" s="16" t="s">
        <v>14</v>
      </c>
      <c r="I94" s="5" t="s">
        <v>26</v>
      </c>
      <c r="J94" s="5" t="s">
        <v>46</v>
      </c>
      <c r="K94" s="5" t="s">
        <v>18</v>
      </c>
      <c r="L94" s="1"/>
      <c r="M94" s="1"/>
      <c r="N94" s="1"/>
      <c r="O94" s="1"/>
      <c r="P94" s="1"/>
      <c r="Q94" s="5"/>
      <c r="R94" s="1"/>
      <c r="S94" s="1"/>
      <c r="T94" s="1"/>
      <c r="U94" s="1"/>
      <c r="V94" s="1"/>
      <c r="W94" s="1"/>
      <c r="X94" s="1"/>
      <c r="Y94" s="1"/>
      <c r="Z94" s="1"/>
      <c r="AA94" s="1"/>
      <c r="AB94" s="1"/>
      <c r="AC94" s="1"/>
      <c r="AD94" s="1"/>
      <c r="AE94" s="1"/>
    </row>
    <row r="95" spans="1:31" ht="12.75" customHeight="1" x14ac:dyDescent="0.2">
      <c r="A95" s="1" t="s">
        <v>414</v>
      </c>
      <c r="B95" s="1" t="s">
        <v>52</v>
      </c>
      <c r="C95" s="1" t="s">
        <v>415</v>
      </c>
      <c r="D95" s="10" t="str">
        <f>VLOOKUP(F95,Format!G:H,2,FALSE)</f>
        <v>Radio</v>
      </c>
      <c r="E95" s="10" t="str">
        <f>VLOOKUP(H95,Format!G:H,2,FALSE)</f>
        <v>CD player</v>
      </c>
      <c r="F95" s="15" t="s">
        <v>12</v>
      </c>
      <c r="G95" s="11" t="s">
        <v>25</v>
      </c>
      <c r="H95" s="16" t="s">
        <v>14</v>
      </c>
      <c r="I95" s="5" t="s">
        <v>26</v>
      </c>
      <c r="J95" s="5" t="s">
        <v>46</v>
      </c>
      <c r="K95" s="5" t="s">
        <v>25</v>
      </c>
      <c r="L95" s="1"/>
      <c r="M95" s="1"/>
      <c r="N95" s="1"/>
      <c r="O95" s="1"/>
      <c r="P95" s="1"/>
      <c r="Q95" s="5"/>
      <c r="R95" s="1"/>
      <c r="S95" s="1"/>
      <c r="T95" s="1"/>
      <c r="U95" s="1"/>
      <c r="V95" s="1"/>
      <c r="W95" s="1"/>
      <c r="X95" s="1"/>
      <c r="Y95" s="1"/>
      <c r="Z95" s="1"/>
      <c r="AA95" s="1"/>
      <c r="AB95" s="1"/>
      <c r="AC95" s="1"/>
      <c r="AD95" s="1"/>
      <c r="AE95" s="1"/>
    </row>
    <row r="96" spans="1:31" ht="12.75" customHeight="1" x14ac:dyDescent="0.2">
      <c r="A96" s="1" t="s">
        <v>414</v>
      </c>
      <c r="B96" s="1" t="s">
        <v>52</v>
      </c>
      <c r="C96" s="1" t="s">
        <v>415</v>
      </c>
      <c r="D96" s="10" t="str">
        <f>VLOOKUP(F96,Format!G:H,2,FALSE)</f>
        <v>Radio</v>
      </c>
      <c r="E96" s="10" t="str">
        <f>VLOOKUP(H96,Format!G:H,2,FALSE)</f>
        <v>CD player</v>
      </c>
      <c r="F96" s="15" t="s">
        <v>12</v>
      </c>
      <c r="G96" s="11" t="s">
        <v>25</v>
      </c>
      <c r="H96" s="16" t="s">
        <v>14</v>
      </c>
      <c r="I96" s="5" t="s">
        <v>26</v>
      </c>
      <c r="J96" s="5" t="s">
        <v>46</v>
      </c>
      <c r="K96" s="5" t="s">
        <v>46</v>
      </c>
      <c r="L96" s="1"/>
      <c r="M96" s="1"/>
      <c r="N96" s="1"/>
      <c r="O96" s="1"/>
      <c r="P96" s="1"/>
      <c r="Q96" s="5"/>
      <c r="R96" s="1"/>
      <c r="S96" s="1"/>
      <c r="T96" s="1"/>
      <c r="U96" s="1"/>
      <c r="V96" s="1"/>
      <c r="W96" s="1"/>
      <c r="X96" s="1"/>
      <c r="Y96" s="1"/>
      <c r="Z96" s="1"/>
      <c r="AA96" s="1"/>
      <c r="AB96" s="1"/>
      <c r="AC96" s="1"/>
      <c r="AD96" s="1"/>
      <c r="AE96" s="1"/>
    </row>
    <row r="97" spans="1:31" ht="12.75" customHeight="1" x14ac:dyDescent="0.2">
      <c r="A97" s="1" t="s">
        <v>416</v>
      </c>
      <c r="B97" s="1" t="s">
        <v>417</v>
      </c>
      <c r="C97" s="1" t="s">
        <v>418</v>
      </c>
      <c r="D97" s="10" t="str">
        <f>VLOOKUP(F97,Format!G:H,2,FALSE)</f>
        <v>Radio</v>
      </c>
      <c r="E97" s="10" t="str">
        <f>VLOOKUP(H97,Format!G:H,2,FALSE)</f>
        <v>CD player</v>
      </c>
      <c r="F97" s="15" t="s">
        <v>12</v>
      </c>
      <c r="G97" s="11" t="s">
        <v>25</v>
      </c>
      <c r="H97" s="16" t="s">
        <v>14</v>
      </c>
      <c r="I97" s="5" t="s">
        <v>26</v>
      </c>
      <c r="J97" s="5" t="s">
        <v>25</v>
      </c>
      <c r="K97" s="5" t="s">
        <v>15</v>
      </c>
      <c r="L97" s="1"/>
      <c r="M97" s="1"/>
      <c r="N97" s="1"/>
      <c r="O97" s="1"/>
      <c r="P97" s="1"/>
      <c r="Q97" s="5"/>
      <c r="R97" s="1"/>
      <c r="S97" s="1"/>
      <c r="T97" s="1"/>
      <c r="U97" s="1"/>
      <c r="V97" s="1"/>
      <c r="W97" s="1"/>
      <c r="X97" s="1"/>
      <c r="Y97" s="1"/>
      <c r="Z97" s="1"/>
      <c r="AA97" s="1"/>
      <c r="AB97" s="1"/>
      <c r="AC97" s="1"/>
      <c r="AD97" s="1"/>
      <c r="AE97" s="1"/>
    </row>
    <row r="98" spans="1:31" ht="12.75" customHeight="1" x14ac:dyDescent="0.2">
      <c r="A98" s="1" t="s">
        <v>419</v>
      </c>
      <c r="B98" s="1" t="s">
        <v>420</v>
      </c>
      <c r="C98" s="1" t="s">
        <v>421</v>
      </c>
      <c r="D98" s="10" t="str">
        <f>VLOOKUP(F98,Format!G:H,2,FALSE)</f>
        <v>Radio</v>
      </c>
      <c r="E98" s="10" t="str">
        <f>VLOOKUP(H98,Format!G:H,2,FALSE)</f>
        <v>CD player</v>
      </c>
      <c r="F98" s="15" t="s">
        <v>12</v>
      </c>
      <c r="G98" s="11" t="s">
        <v>25</v>
      </c>
      <c r="H98" s="16" t="s">
        <v>14</v>
      </c>
      <c r="I98" s="5" t="s">
        <v>26</v>
      </c>
      <c r="J98" s="5" t="s">
        <v>25</v>
      </c>
      <c r="K98" s="5" t="s">
        <v>21</v>
      </c>
      <c r="L98" s="1"/>
      <c r="M98" s="1"/>
      <c r="N98" s="1"/>
      <c r="O98" s="1"/>
      <c r="P98" s="1"/>
      <c r="Q98" s="5"/>
      <c r="R98" s="1"/>
      <c r="S98" s="1"/>
      <c r="T98" s="1"/>
      <c r="U98" s="1"/>
      <c r="V98" s="1"/>
      <c r="W98" s="1"/>
      <c r="X98" s="1"/>
      <c r="Y98" s="1"/>
      <c r="Z98" s="1"/>
      <c r="AA98" s="1"/>
      <c r="AB98" s="1"/>
      <c r="AC98" s="1"/>
      <c r="AD98" s="1"/>
      <c r="AE98" s="1"/>
    </row>
    <row r="99" spans="1:31" ht="12.75" customHeight="1" x14ac:dyDescent="0.2">
      <c r="A99" s="1"/>
      <c r="B99" s="1"/>
      <c r="C99" s="1"/>
      <c r="D99" s="1"/>
      <c r="E99" s="1"/>
      <c r="F99" s="1"/>
      <c r="G99" s="1"/>
      <c r="H99" s="1"/>
      <c r="I99" s="1"/>
      <c r="J99" s="1"/>
      <c r="K99" s="1"/>
      <c r="L99" s="1"/>
      <c r="M99" s="1"/>
      <c r="N99" s="1"/>
      <c r="O99" s="1"/>
      <c r="P99" s="1"/>
      <c r="Q99" s="5"/>
      <c r="R99" s="1"/>
      <c r="S99" s="1"/>
      <c r="T99" s="1"/>
      <c r="U99" s="1"/>
      <c r="V99" s="1"/>
      <c r="W99" s="1"/>
      <c r="X99" s="1"/>
      <c r="Y99" s="1"/>
      <c r="Z99" s="1"/>
      <c r="AA99" s="1"/>
      <c r="AB99" s="1"/>
      <c r="AC99" s="1"/>
      <c r="AD99" s="1"/>
      <c r="AE99" s="1"/>
    </row>
    <row r="100" spans="1:31" ht="12.75" customHeight="1" x14ac:dyDescent="0.2">
      <c r="A100" s="1" t="s">
        <v>422</v>
      </c>
      <c r="B100" s="1" t="s">
        <v>62</v>
      </c>
      <c r="C100" s="1" t="s">
        <v>423</v>
      </c>
      <c r="D100" s="10" t="str">
        <f>VLOOKUP(F100,Format!G:H,2,FALSE)</f>
        <v>Radio</v>
      </c>
      <c r="E100" s="10" t="str">
        <f>VLOOKUP(H100,Format!G:H,2,FALSE)</f>
        <v>CD player</v>
      </c>
      <c r="F100" s="15" t="s">
        <v>12</v>
      </c>
      <c r="G100" s="11" t="s">
        <v>25</v>
      </c>
      <c r="H100" s="16" t="s">
        <v>14</v>
      </c>
      <c r="I100" s="5" t="s">
        <v>26</v>
      </c>
      <c r="J100" s="5" t="s">
        <v>63</v>
      </c>
      <c r="K100" s="5" t="s">
        <v>15</v>
      </c>
      <c r="L100" s="1"/>
      <c r="M100" s="1"/>
      <c r="N100" s="1"/>
      <c r="O100" s="1"/>
      <c r="P100" s="1"/>
      <c r="Q100" s="5"/>
      <c r="R100" s="1"/>
      <c r="S100" s="1"/>
      <c r="T100" s="1"/>
      <c r="U100" s="1"/>
      <c r="V100" s="1"/>
      <c r="W100" s="1"/>
      <c r="X100" s="1"/>
      <c r="Y100" s="1"/>
      <c r="Z100" s="1"/>
      <c r="AA100" s="1"/>
      <c r="AB100" s="1"/>
      <c r="AC100" s="1"/>
      <c r="AD100" s="1"/>
      <c r="AE100" s="1"/>
    </row>
    <row r="101" spans="1:31" ht="12.75" customHeight="1" x14ac:dyDescent="0.2">
      <c r="A101" s="1" t="s">
        <v>424</v>
      </c>
      <c r="B101" s="1" t="s">
        <v>65</v>
      </c>
      <c r="C101" s="1" t="s">
        <v>425</v>
      </c>
      <c r="D101" s="10" t="str">
        <f>VLOOKUP(F101,Format!G:H,2,FALSE)</f>
        <v>Radio</v>
      </c>
      <c r="E101" s="10" t="str">
        <f>VLOOKUP(H101,Format!G:H,2,FALSE)</f>
        <v>CD player</v>
      </c>
      <c r="F101" s="15" t="s">
        <v>12</v>
      </c>
      <c r="G101" s="11" t="s">
        <v>25</v>
      </c>
      <c r="H101" s="16" t="s">
        <v>14</v>
      </c>
      <c r="I101" s="5" t="s">
        <v>26</v>
      </c>
      <c r="J101" s="5" t="s">
        <v>63</v>
      </c>
      <c r="K101" s="5" t="s">
        <v>21</v>
      </c>
      <c r="L101" s="1"/>
      <c r="M101" s="1"/>
      <c r="N101" s="1"/>
      <c r="O101" s="1"/>
      <c r="P101" s="1"/>
      <c r="Q101" s="5"/>
      <c r="R101" s="1"/>
      <c r="S101" s="1"/>
      <c r="T101" s="1"/>
      <c r="U101" s="1"/>
      <c r="V101" s="1"/>
      <c r="W101" s="1"/>
      <c r="X101" s="1"/>
      <c r="Y101" s="1"/>
      <c r="Z101" s="1"/>
      <c r="AA101" s="1"/>
      <c r="AB101" s="1"/>
      <c r="AC101" s="1"/>
      <c r="AD101" s="1"/>
      <c r="AE101" s="1"/>
    </row>
    <row r="102" spans="1:31" ht="12.75" customHeight="1" x14ac:dyDescent="0.2">
      <c r="A102" s="1"/>
      <c r="B102" s="1"/>
      <c r="C102" s="1"/>
      <c r="D102" s="1"/>
      <c r="E102" s="1"/>
      <c r="F102" s="1"/>
      <c r="G102" s="1"/>
      <c r="H102" s="1"/>
      <c r="I102" s="1"/>
      <c r="J102" s="1"/>
      <c r="K102" s="1"/>
      <c r="L102" s="1"/>
      <c r="M102" s="1"/>
      <c r="N102" s="1"/>
      <c r="O102" s="1"/>
      <c r="P102" s="1"/>
      <c r="Q102" s="5"/>
      <c r="R102" s="1"/>
      <c r="S102" s="1"/>
      <c r="T102" s="1"/>
      <c r="U102" s="1"/>
      <c r="V102" s="1"/>
      <c r="W102" s="1"/>
      <c r="X102" s="1"/>
      <c r="Y102" s="1"/>
      <c r="Z102" s="1"/>
      <c r="AA102" s="1"/>
      <c r="AB102" s="1"/>
      <c r="AC102" s="1"/>
      <c r="AD102" s="1"/>
      <c r="AE102" s="1"/>
    </row>
    <row r="103" spans="1:31" ht="12.75" customHeight="1" x14ac:dyDescent="0.2">
      <c r="A103" s="1" t="s">
        <v>426</v>
      </c>
      <c r="B103" s="1" t="s">
        <v>57</v>
      </c>
      <c r="C103" s="1" t="s">
        <v>427</v>
      </c>
      <c r="D103" s="10" t="str">
        <f>VLOOKUP(F103,Format!G:H,2,FALSE)</f>
        <v>Radio</v>
      </c>
      <c r="E103" s="10" t="str">
        <f>VLOOKUP(H103,Format!G:H,2,FALSE)</f>
        <v>CD player</v>
      </c>
      <c r="F103" s="15" t="s">
        <v>12</v>
      </c>
      <c r="G103" s="11" t="s">
        <v>25</v>
      </c>
      <c r="H103" s="16" t="s">
        <v>14</v>
      </c>
      <c r="I103" s="5" t="s">
        <v>26</v>
      </c>
      <c r="J103" s="5" t="s">
        <v>58</v>
      </c>
      <c r="K103" s="5" t="s">
        <v>15</v>
      </c>
      <c r="L103" s="1"/>
      <c r="M103" s="1"/>
      <c r="N103" s="1"/>
      <c r="O103" s="1"/>
      <c r="P103" s="1"/>
      <c r="Q103" s="5"/>
      <c r="R103" s="1"/>
      <c r="S103" s="1"/>
      <c r="T103" s="1"/>
      <c r="U103" s="1"/>
      <c r="V103" s="1"/>
      <c r="W103" s="1"/>
      <c r="X103" s="1"/>
      <c r="Y103" s="1"/>
      <c r="Z103" s="1"/>
      <c r="AA103" s="1"/>
      <c r="AB103" s="1"/>
      <c r="AC103" s="1"/>
      <c r="AD103" s="1"/>
      <c r="AE103" s="1"/>
    </row>
    <row r="104" spans="1:31" ht="12.75" customHeight="1" x14ac:dyDescent="0.2">
      <c r="A104" s="1" t="s">
        <v>428</v>
      </c>
      <c r="B104" s="1" t="s">
        <v>60</v>
      </c>
      <c r="C104" s="1" t="s">
        <v>429</v>
      </c>
      <c r="D104" s="10" t="str">
        <f>VLOOKUP(F104,Format!G:H,2,FALSE)</f>
        <v>Radio</v>
      </c>
      <c r="E104" s="10" t="str">
        <f>VLOOKUP(H104,Format!G:H,2,FALSE)</f>
        <v>CD player</v>
      </c>
      <c r="F104" s="15" t="s">
        <v>12</v>
      </c>
      <c r="G104" s="11" t="s">
        <v>25</v>
      </c>
      <c r="H104" s="16" t="s">
        <v>14</v>
      </c>
      <c r="I104" s="5" t="s">
        <v>26</v>
      </c>
      <c r="J104" s="5" t="s">
        <v>58</v>
      </c>
      <c r="K104" s="5" t="s">
        <v>21</v>
      </c>
      <c r="L104" s="1"/>
      <c r="M104" s="1"/>
      <c r="N104" s="1"/>
      <c r="O104" s="1"/>
      <c r="P104" s="1"/>
      <c r="Q104" s="5"/>
      <c r="R104" s="1"/>
      <c r="S104" s="1"/>
      <c r="T104" s="1"/>
      <c r="U104" s="1"/>
      <c r="V104" s="1"/>
      <c r="W104" s="1"/>
      <c r="X104" s="1"/>
      <c r="Y104" s="1"/>
      <c r="Z104" s="1"/>
      <c r="AA104" s="1"/>
      <c r="AB104" s="1"/>
      <c r="AC104" s="1"/>
      <c r="AD104" s="1"/>
      <c r="AE104" s="1"/>
    </row>
    <row r="105" spans="1:31" ht="12.75" customHeight="1" x14ac:dyDescent="0.2">
      <c r="A105" s="1"/>
      <c r="B105" s="1"/>
      <c r="C105" s="1"/>
      <c r="D105" s="1"/>
      <c r="E105" s="1"/>
      <c r="F105" s="1"/>
      <c r="G105" s="1"/>
      <c r="H105" s="1"/>
      <c r="I105" s="5"/>
      <c r="J105" s="5"/>
      <c r="K105" s="5"/>
      <c r="L105" s="5"/>
      <c r="M105" s="1"/>
      <c r="N105" s="1"/>
      <c r="O105" s="1"/>
      <c r="P105" s="1"/>
      <c r="Q105" s="5"/>
      <c r="R105" s="1"/>
      <c r="S105" s="1"/>
      <c r="T105" s="1"/>
      <c r="U105" s="1"/>
      <c r="V105" s="1"/>
      <c r="W105" s="1"/>
      <c r="X105" s="1"/>
      <c r="Y105" s="1"/>
      <c r="Z105" s="1"/>
      <c r="AA105" s="1"/>
      <c r="AB105" s="1"/>
      <c r="AC105" s="1"/>
      <c r="AD105" s="1"/>
      <c r="AE105" s="1"/>
    </row>
    <row r="106" spans="1:31" ht="15.75" customHeight="1" x14ac:dyDescent="0.25">
      <c r="A106" s="1" t="s">
        <v>87</v>
      </c>
      <c r="B106" s="6" t="s">
        <v>88</v>
      </c>
      <c r="C106" s="1"/>
      <c r="D106" s="1"/>
      <c r="E106" s="1"/>
      <c r="F106" s="1"/>
      <c r="G106" s="1"/>
      <c r="H106" s="1"/>
      <c r="I106" s="1"/>
      <c r="J106" s="1"/>
      <c r="K106" s="1"/>
      <c r="L106" s="1"/>
      <c r="M106" s="1"/>
      <c r="N106" s="1"/>
      <c r="O106" s="1"/>
      <c r="P106" s="1"/>
      <c r="Q106" s="5"/>
      <c r="R106" s="1"/>
      <c r="S106" s="1"/>
      <c r="T106" s="1"/>
      <c r="U106" s="1"/>
      <c r="V106" s="1"/>
      <c r="W106" s="1"/>
      <c r="X106" s="1"/>
      <c r="Y106" s="1"/>
      <c r="Z106" s="1"/>
      <c r="AA106" s="1"/>
      <c r="AB106" s="1"/>
      <c r="AC106" s="1"/>
      <c r="AD106" s="1"/>
      <c r="AE106" s="1"/>
    </row>
    <row r="107" spans="1:31" ht="12.75" customHeight="1" x14ac:dyDescent="0.2">
      <c r="A107" s="1" t="s">
        <v>430</v>
      </c>
      <c r="B107" s="1" t="s">
        <v>90</v>
      </c>
      <c r="C107" s="1"/>
      <c r="D107" s="1"/>
      <c r="E107" s="1"/>
      <c r="F107" s="1"/>
      <c r="G107" s="1"/>
      <c r="H107" s="1"/>
      <c r="I107" s="1"/>
      <c r="J107" s="1"/>
      <c r="K107" s="1"/>
      <c r="L107" s="1"/>
      <c r="M107" s="1"/>
      <c r="N107" s="1"/>
      <c r="O107" s="1"/>
      <c r="P107" s="1"/>
      <c r="Q107" s="5"/>
      <c r="R107" s="1"/>
      <c r="S107" s="1"/>
      <c r="T107" s="1"/>
      <c r="U107" s="1"/>
      <c r="V107" s="1"/>
      <c r="W107" s="1"/>
      <c r="X107" s="1"/>
      <c r="Y107" s="1"/>
      <c r="Z107" s="1"/>
      <c r="AA107" s="1"/>
      <c r="AB107" s="1"/>
      <c r="AC107" s="1"/>
      <c r="AD107" s="1"/>
      <c r="AE107" s="1"/>
    </row>
    <row r="108" spans="1:31" ht="12.75" customHeight="1" x14ac:dyDescent="0.2">
      <c r="A108" s="1" t="s">
        <v>431</v>
      </c>
      <c r="B108" s="1" t="s">
        <v>92</v>
      </c>
      <c r="C108" s="1" t="s">
        <v>432</v>
      </c>
      <c r="D108" s="10" t="str">
        <f>VLOOKUP(F108,Format!G:H,2,FALSE)</f>
        <v>CD player</v>
      </c>
      <c r="E108" s="10" t="str">
        <f>VLOOKUP(H108,Format!G:H,2,FALSE)</f>
        <v>General news 2</v>
      </c>
      <c r="F108" s="15" t="s">
        <v>14</v>
      </c>
      <c r="G108" s="11" t="s">
        <v>18</v>
      </c>
      <c r="H108" s="16" t="s">
        <v>19</v>
      </c>
      <c r="I108" s="5" t="s">
        <v>35</v>
      </c>
      <c r="J108" s="5" t="s">
        <v>15</v>
      </c>
      <c r="K108" s="13" t="s">
        <v>93</v>
      </c>
      <c r="L108" s="1" t="s">
        <v>94</v>
      </c>
      <c r="M108" s="1"/>
      <c r="N108" s="1"/>
      <c r="O108" s="1"/>
      <c r="P108" s="1"/>
      <c r="Q108" s="5"/>
      <c r="R108" s="1"/>
      <c r="S108" s="1"/>
      <c r="T108" s="1"/>
      <c r="U108" s="1"/>
      <c r="V108" s="1"/>
      <c r="W108" s="1"/>
      <c r="X108" s="1"/>
      <c r="Y108" s="1"/>
      <c r="Z108" s="1"/>
      <c r="AA108" s="1"/>
      <c r="AB108" s="1"/>
      <c r="AC108" s="1"/>
      <c r="AD108" s="1"/>
      <c r="AE108" s="1"/>
    </row>
    <row r="109" spans="1:31" ht="12.75" customHeight="1" x14ac:dyDescent="0.2">
      <c r="A109" s="1" t="s">
        <v>433</v>
      </c>
      <c r="B109" s="1" t="s">
        <v>95</v>
      </c>
      <c r="C109" s="1" t="s">
        <v>434</v>
      </c>
      <c r="D109" s="10" t="str">
        <f>VLOOKUP(F109,Format!G:H,2,FALSE)</f>
        <v>CD player</v>
      </c>
      <c r="E109" s="10" t="str">
        <f>VLOOKUP(H109,Format!G:H,2,FALSE)</f>
        <v>General news 2</v>
      </c>
      <c r="F109" s="15" t="s">
        <v>14</v>
      </c>
      <c r="G109" s="11" t="s">
        <v>18</v>
      </c>
      <c r="H109" s="16" t="s">
        <v>19</v>
      </c>
      <c r="I109" s="5" t="s">
        <v>35</v>
      </c>
      <c r="J109" s="5" t="s">
        <v>21</v>
      </c>
      <c r="K109" s="13" t="s">
        <v>96</v>
      </c>
      <c r="L109" s="1" t="s">
        <v>97</v>
      </c>
      <c r="M109" s="1"/>
      <c r="N109" s="1"/>
      <c r="O109" s="1"/>
      <c r="P109" s="1"/>
      <c r="Q109" s="5"/>
      <c r="R109" s="1"/>
      <c r="S109" s="1"/>
      <c r="T109" s="1"/>
      <c r="U109" s="1"/>
      <c r="V109" s="1"/>
      <c r="W109" s="1"/>
      <c r="X109" s="1"/>
      <c r="Y109" s="1"/>
      <c r="Z109" s="1"/>
      <c r="AA109" s="1"/>
      <c r="AB109" s="1"/>
      <c r="AC109" s="1"/>
      <c r="AD109" s="1"/>
      <c r="AE109" s="1"/>
    </row>
    <row r="110" spans="1:31" ht="12.75" customHeight="1" x14ac:dyDescent="0.2">
      <c r="A110" s="1"/>
      <c r="B110" s="1"/>
      <c r="C110" s="1"/>
      <c r="D110" s="1"/>
      <c r="E110" s="1"/>
      <c r="F110" s="1"/>
      <c r="G110" s="1"/>
      <c r="H110" s="1"/>
      <c r="I110" s="5"/>
      <c r="J110" s="5"/>
      <c r="K110" s="1"/>
      <c r="L110" s="1"/>
      <c r="M110" s="1"/>
      <c r="N110" s="1"/>
      <c r="O110" s="1"/>
      <c r="P110" s="1"/>
      <c r="Q110" s="5"/>
      <c r="R110" s="1"/>
      <c r="S110" s="1"/>
      <c r="T110" s="1"/>
      <c r="U110" s="1"/>
      <c r="V110" s="1"/>
      <c r="W110" s="1"/>
      <c r="X110" s="1"/>
      <c r="Y110" s="1"/>
      <c r="Z110" s="1"/>
      <c r="AA110" s="1"/>
      <c r="AB110" s="1"/>
      <c r="AC110" s="1"/>
      <c r="AD110" s="1"/>
      <c r="AE110" s="1"/>
    </row>
    <row r="111" spans="1:31" ht="12.75" customHeight="1" x14ac:dyDescent="0.2">
      <c r="A111" s="1" t="s">
        <v>87</v>
      </c>
      <c r="B111" s="1"/>
      <c r="C111" s="1"/>
      <c r="D111" s="1"/>
      <c r="E111" s="1"/>
      <c r="F111" s="1"/>
      <c r="G111" s="1"/>
      <c r="H111" s="1"/>
      <c r="I111" s="1"/>
      <c r="J111" s="1"/>
      <c r="K111" s="1"/>
      <c r="L111" s="1"/>
      <c r="M111" s="1"/>
      <c r="N111" s="1"/>
      <c r="O111" s="1"/>
      <c r="P111" s="1"/>
      <c r="Q111" s="5"/>
      <c r="R111" s="1"/>
      <c r="S111" s="1"/>
      <c r="T111" s="1"/>
      <c r="U111" s="1"/>
      <c r="V111" s="1"/>
      <c r="W111" s="1"/>
      <c r="X111" s="1"/>
      <c r="Y111" s="1"/>
      <c r="Z111" s="1"/>
      <c r="AA111" s="1"/>
      <c r="AB111" s="1"/>
      <c r="AC111" s="1"/>
      <c r="AD111" s="1"/>
      <c r="AE111" s="1"/>
    </row>
    <row r="112" spans="1:31" ht="12.75" customHeight="1" x14ac:dyDescent="0.2">
      <c r="A112" s="1" t="s">
        <v>435</v>
      </c>
      <c r="B112" s="1" t="s">
        <v>98</v>
      </c>
      <c r="C112" s="1" t="s">
        <v>436</v>
      </c>
      <c r="D112" s="1"/>
      <c r="E112" s="1"/>
      <c r="F112" s="1"/>
      <c r="G112" s="1"/>
      <c r="H112" s="1"/>
      <c r="I112" s="1" t="s">
        <v>3</v>
      </c>
      <c r="J112" s="1" t="s">
        <v>4</v>
      </c>
      <c r="K112" s="1" t="s">
        <v>5</v>
      </c>
      <c r="L112" s="1" t="s">
        <v>6</v>
      </c>
      <c r="M112" s="1" t="s">
        <v>7</v>
      </c>
      <c r="N112" s="1" t="s">
        <v>8</v>
      </c>
      <c r="O112" s="1" t="s">
        <v>437</v>
      </c>
      <c r="P112" s="1" t="s">
        <v>438</v>
      </c>
      <c r="Q112" s="5"/>
      <c r="R112" s="1"/>
      <c r="S112" s="1" t="s">
        <v>439</v>
      </c>
      <c r="T112" s="1"/>
      <c r="U112" s="1"/>
      <c r="V112" s="1"/>
      <c r="W112" s="1"/>
      <c r="X112" s="1"/>
      <c r="Y112" s="1"/>
      <c r="Z112" s="1"/>
      <c r="AA112" s="1"/>
      <c r="AB112" s="1"/>
      <c r="AC112" s="1"/>
      <c r="AD112" s="1"/>
      <c r="AE112" s="1"/>
    </row>
    <row r="113" spans="1:31" ht="12.75" customHeight="1" x14ac:dyDescent="0.2">
      <c r="A113" s="1" t="s">
        <v>440</v>
      </c>
      <c r="B113" s="1" t="s">
        <v>101</v>
      </c>
      <c r="C113" s="1" t="s">
        <v>441</v>
      </c>
      <c r="D113" s="10" t="str">
        <f>VLOOKUP(F113,Format!G:H,2,FALSE)</f>
        <v>CD player</v>
      </c>
      <c r="E113" s="10" t="str">
        <f>VLOOKUP(H113,Format!G:H,2,FALSE)</f>
        <v>Radio</v>
      </c>
      <c r="F113" s="15" t="s">
        <v>14</v>
      </c>
      <c r="G113" s="11" t="s">
        <v>70</v>
      </c>
      <c r="H113" s="16" t="s">
        <v>12</v>
      </c>
      <c r="I113" s="5" t="s">
        <v>102</v>
      </c>
      <c r="J113" s="23" t="s">
        <v>21</v>
      </c>
      <c r="K113" s="23" t="s">
        <v>35</v>
      </c>
      <c r="L113" s="5" t="s">
        <v>21</v>
      </c>
      <c r="M113" s="23" t="s">
        <v>103</v>
      </c>
      <c r="N113" s="54" t="s">
        <v>21</v>
      </c>
      <c r="O113" s="20" t="s">
        <v>21</v>
      </c>
      <c r="P113" s="20" t="s">
        <v>21</v>
      </c>
      <c r="Q113" s="14"/>
      <c r="R113" s="1"/>
      <c r="S113" s="1" t="s">
        <v>442</v>
      </c>
      <c r="T113" s="1"/>
      <c r="U113" s="1"/>
      <c r="V113" s="1"/>
      <c r="W113" s="1"/>
      <c r="X113" s="1"/>
      <c r="Y113" s="1" t="s">
        <v>105</v>
      </c>
      <c r="Z113" s="1"/>
      <c r="AA113" s="1"/>
      <c r="AB113" s="1"/>
      <c r="AC113" s="1"/>
      <c r="AD113" s="1"/>
      <c r="AE113" s="1"/>
    </row>
    <row r="114" spans="1:31" ht="12.75" customHeight="1" x14ac:dyDescent="0.2">
      <c r="A114" s="1" t="s">
        <v>443</v>
      </c>
      <c r="B114" s="1" t="s">
        <v>108</v>
      </c>
      <c r="C114" s="1" t="s">
        <v>444</v>
      </c>
      <c r="D114" s="10" t="str">
        <f>VLOOKUP(F114,Format!G:H,2,FALSE)</f>
        <v>CD player</v>
      </c>
      <c r="E114" s="10" t="str">
        <f>VLOOKUP(H114,Format!G:H,2,FALSE)</f>
        <v>Radio</v>
      </c>
      <c r="F114" s="15" t="s">
        <v>14</v>
      </c>
      <c r="G114" s="11" t="s">
        <v>70</v>
      </c>
      <c r="H114" s="16" t="s">
        <v>12</v>
      </c>
      <c r="I114" s="5" t="s">
        <v>102</v>
      </c>
      <c r="J114" s="23" t="s">
        <v>15</v>
      </c>
      <c r="K114" s="23" t="s">
        <v>71</v>
      </c>
      <c r="L114" s="5" t="s">
        <v>21</v>
      </c>
      <c r="M114" s="23" t="s">
        <v>103</v>
      </c>
      <c r="N114" s="54" t="s">
        <v>21</v>
      </c>
      <c r="O114" s="20" t="s">
        <v>21</v>
      </c>
      <c r="P114" s="20" t="s">
        <v>21</v>
      </c>
      <c r="Q114" s="14"/>
      <c r="R114" s="1"/>
      <c r="S114" s="1" t="s">
        <v>445</v>
      </c>
      <c r="T114" s="1"/>
      <c r="U114" s="1"/>
      <c r="V114" s="1"/>
      <c r="W114" s="1"/>
      <c r="X114" s="1"/>
      <c r="Y114" s="1"/>
      <c r="Z114" s="1"/>
      <c r="AA114" s="1"/>
      <c r="AB114" s="1"/>
      <c r="AC114" s="1"/>
      <c r="AD114" s="1"/>
      <c r="AE114" s="1"/>
    </row>
    <row r="115" spans="1:31" ht="12.75" customHeight="1" x14ac:dyDescent="0.2">
      <c r="A115" s="1" t="s">
        <v>446</v>
      </c>
      <c r="B115" s="1" t="s">
        <v>106</v>
      </c>
      <c r="C115" s="1" t="s">
        <v>447</v>
      </c>
      <c r="D115" s="10" t="str">
        <f>VLOOKUP(F115,Format!G:H,2,FALSE)</f>
        <v>CD player</v>
      </c>
      <c r="E115" s="10" t="str">
        <f>VLOOKUP(H115,Format!G:H,2,FALSE)</f>
        <v>Radio</v>
      </c>
      <c r="F115" s="15" t="s">
        <v>14</v>
      </c>
      <c r="G115" s="11" t="s">
        <v>70</v>
      </c>
      <c r="H115" s="16" t="s">
        <v>12</v>
      </c>
      <c r="I115" s="5" t="s">
        <v>102</v>
      </c>
      <c r="J115" s="23" t="s">
        <v>35</v>
      </c>
      <c r="K115" s="23" t="s">
        <v>71</v>
      </c>
      <c r="L115" s="5" t="s">
        <v>21</v>
      </c>
      <c r="M115" s="23" t="s">
        <v>103</v>
      </c>
      <c r="N115" s="54" t="s">
        <v>21</v>
      </c>
      <c r="O115" s="20" t="s">
        <v>21</v>
      </c>
      <c r="P115" s="20" t="s">
        <v>21</v>
      </c>
      <c r="Q115" s="14"/>
      <c r="R115" s="1"/>
      <c r="S115" s="1"/>
      <c r="T115" s="1"/>
      <c r="U115" s="1"/>
      <c r="V115" s="1"/>
      <c r="W115" s="1"/>
      <c r="X115" s="1"/>
      <c r="Y115" s="1"/>
      <c r="Z115" s="1"/>
      <c r="AA115" s="1"/>
      <c r="AB115" s="1"/>
      <c r="AC115" s="1"/>
      <c r="AD115" s="1"/>
      <c r="AE115" s="1"/>
    </row>
    <row r="116" spans="1:31" ht="12.75" customHeight="1" x14ac:dyDescent="0.2">
      <c r="A116" s="1" t="s">
        <v>446</v>
      </c>
      <c r="B116" s="1" t="s">
        <v>106</v>
      </c>
      <c r="C116" s="1" t="s">
        <v>447</v>
      </c>
      <c r="D116" s="10" t="str">
        <f>VLOOKUP(F116,Format!G:H,2,FALSE)</f>
        <v>CD player</v>
      </c>
      <c r="E116" s="10" t="str">
        <f>VLOOKUP(H116,Format!G:H,2,FALSE)</f>
        <v>Radio</v>
      </c>
      <c r="F116" s="15" t="s">
        <v>14</v>
      </c>
      <c r="G116" s="11" t="s">
        <v>70</v>
      </c>
      <c r="H116" s="16" t="s">
        <v>12</v>
      </c>
      <c r="I116" s="5" t="s">
        <v>102</v>
      </c>
      <c r="J116" s="23" t="s">
        <v>35</v>
      </c>
      <c r="K116" s="23" t="s">
        <v>71</v>
      </c>
      <c r="L116" s="5" t="s">
        <v>21</v>
      </c>
      <c r="M116" s="23" t="s">
        <v>103</v>
      </c>
      <c r="N116" s="54" t="s">
        <v>21</v>
      </c>
      <c r="O116" s="20" t="s">
        <v>21</v>
      </c>
      <c r="P116" s="20" t="s">
        <v>21</v>
      </c>
      <c r="Q116" s="14"/>
      <c r="R116" s="1"/>
      <c r="S116" s="1"/>
      <c r="T116" s="1"/>
      <c r="U116" s="1"/>
      <c r="V116" s="1"/>
      <c r="W116" s="1"/>
      <c r="X116" s="1"/>
      <c r="Y116" s="1"/>
      <c r="Z116" s="1"/>
      <c r="AA116" s="1"/>
      <c r="AB116" s="1"/>
      <c r="AC116" s="1"/>
      <c r="AD116" s="1"/>
      <c r="AE116" s="1"/>
    </row>
    <row r="117" spans="1:31" ht="12.75" customHeight="1" x14ac:dyDescent="0.2">
      <c r="A117" s="1"/>
      <c r="B117" s="1" t="s">
        <v>109</v>
      </c>
      <c r="C117" s="1" t="s">
        <v>447</v>
      </c>
      <c r="D117" s="10" t="str">
        <f>VLOOKUP(F117,Format!G:H,2,FALSE)</f>
        <v>CD player</v>
      </c>
      <c r="E117" s="10" t="str">
        <f>VLOOKUP(H117,Format!G:H,2,FALSE)</f>
        <v>Radio</v>
      </c>
      <c r="F117" s="15" t="s">
        <v>14</v>
      </c>
      <c r="G117" s="11" t="s">
        <v>70</v>
      </c>
      <c r="H117" s="16" t="s">
        <v>12</v>
      </c>
      <c r="I117" s="5" t="s">
        <v>102</v>
      </c>
      <c r="J117" s="23" t="s">
        <v>13</v>
      </c>
      <c r="K117" s="23" t="s">
        <v>71</v>
      </c>
      <c r="L117" s="5" t="s">
        <v>21</v>
      </c>
      <c r="M117" s="23" t="s">
        <v>103</v>
      </c>
      <c r="N117" s="54" t="s">
        <v>21</v>
      </c>
      <c r="O117" s="20" t="s">
        <v>21</v>
      </c>
      <c r="P117" s="20" t="s">
        <v>21</v>
      </c>
      <c r="Q117" s="14"/>
      <c r="R117" s="1"/>
      <c r="S117" s="1"/>
      <c r="T117" s="1"/>
      <c r="U117" s="1"/>
      <c r="V117" s="1"/>
      <c r="W117" s="1"/>
      <c r="X117" s="1"/>
      <c r="Y117" s="1"/>
      <c r="Z117" s="1"/>
      <c r="AA117" s="1"/>
      <c r="AB117" s="1"/>
      <c r="AC117" s="1"/>
      <c r="AD117" s="1"/>
      <c r="AE117" s="1"/>
    </row>
    <row r="118" spans="1:31" ht="12.75" customHeight="1" x14ac:dyDescent="0.2">
      <c r="A118" s="1"/>
      <c r="B118" s="1" t="s">
        <v>111</v>
      </c>
      <c r="C118" s="1" t="s">
        <v>447</v>
      </c>
      <c r="D118" s="10" t="str">
        <f>VLOOKUP(F118,Format!G:H,2,FALSE)</f>
        <v>CD player</v>
      </c>
      <c r="E118" s="10" t="str">
        <f>VLOOKUP(H118,Format!G:H,2,FALSE)</f>
        <v>Radio</v>
      </c>
      <c r="F118" s="15" t="s">
        <v>14</v>
      </c>
      <c r="G118" s="11" t="s">
        <v>70</v>
      </c>
      <c r="H118" s="16" t="s">
        <v>12</v>
      </c>
      <c r="I118" s="5" t="s">
        <v>102</v>
      </c>
      <c r="J118" s="23" t="s">
        <v>18</v>
      </c>
      <c r="K118" s="23" t="s">
        <v>71</v>
      </c>
      <c r="L118" s="5" t="s">
        <v>21</v>
      </c>
      <c r="M118" s="23" t="s">
        <v>103</v>
      </c>
      <c r="N118" s="54" t="s">
        <v>21</v>
      </c>
      <c r="O118" s="20" t="s">
        <v>21</v>
      </c>
      <c r="P118" s="20" t="s">
        <v>21</v>
      </c>
      <c r="Q118" s="14"/>
      <c r="R118" s="1"/>
      <c r="S118" s="1"/>
      <c r="T118" s="1"/>
      <c r="U118" s="1"/>
      <c r="V118" s="1"/>
      <c r="W118" s="1"/>
      <c r="X118" s="1"/>
      <c r="Y118" s="1"/>
      <c r="Z118" s="1"/>
      <c r="AA118" s="1"/>
      <c r="AB118" s="1"/>
      <c r="AC118" s="1"/>
      <c r="AD118" s="1"/>
      <c r="AE118" s="1"/>
    </row>
    <row r="119" spans="1:31" ht="12.75" customHeight="1" x14ac:dyDescent="0.2">
      <c r="A119" s="1" t="s">
        <v>448</v>
      </c>
      <c r="B119" s="1" t="s">
        <v>115</v>
      </c>
      <c r="C119" s="1" t="s">
        <v>449</v>
      </c>
      <c r="D119" s="10" t="str">
        <f>VLOOKUP(F119,Format!G:H,2,FALSE)</f>
        <v>CD player</v>
      </c>
      <c r="E119" s="10" t="str">
        <f>VLOOKUP(H119,Format!G:H,2,FALSE)</f>
        <v>Radio</v>
      </c>
      <c r="F119" s="15" t="s">
        <v>14</v>
      </c>
      <c r="G119" s="11" t="s">
        <v>70</v>
      </c>
      <c r="H119" s="16" t="s">
        <v>12</v>
      </c>
      <c r="I119" s="5" t="s">
        <v>102</v>
      </c>
      <c r="J119" s="23" t="s">
        <v>58</v>
      </c>
      <c r="K119" s="23" t="s">
        <v>71</v>
      </c>
      <c r="L119" s="5" t="s">
        <v>21</v>
      </c>
      <c r="M119" s="23" t="s">
        <v>103</v>
      </c>
      <c r="N119" s="54" t="s">
        <v>21</v>
      </c>
      <c r="O119" s="20" t="s">
        <v>21</v>
      </c>
      <c r="P119" s="20" t="s">
        <v>21</v>
      </c>
      <c r="Q119" s="14"/>
      <c r="R119" s="1"/>
      <c r="S119" s="1"/>
      <c r="T119" s="1"/>
      <c r="U119" s="1"/>
      <c r="V119" s="1"/>
      <c r="W119" s="1"/>
      <c r="X119" s="1"/>
      <c r="Y119" s="1"/>
      <c r="Z119" s="1"/>
      <c r="AA119" s="1"/>
      <c r="AB119" s="1"/>
      <c r="AC119" s="1"/>
      <c r="AD119" s="1"/>
      <c r="AE119" s="1"/>
    </row>
    <row r="120" spans="1:31" ht="12.75" customHeight="1" x14ac:dyDescent="0.2">
      <c r="A120" s="1" t="s">
        <v>450</v>
      </c>
      <c r="B120" s="1" t="s">
        <v>117</v>
      </c>
      <c r="C120" s="1" t="s">
        <v>451</v>
      </c>
      <c r="D120" s="10" t="str">
        <f>VLOOKUP(F120,Format!G:H,2,FALSE)</f>
        <v>CD player</v>
      </c>
      <c r="E120" s="10" t="str">
        <f>VLOOKUP(H120,Format!G:H,2,FALSE)</f>
        <v>Radio</v>
      </c>
      <c r="F120" s="15" t="s">
        <v>14</v>
      </c>
      <c r="G120" s="11" t="s">
        <v>70</v>
      </c>
      <c r="H120" s="16" t="s">
        <v>12</v>
      </c>
      <c r="I120" s="5" t="s">
        <v>102</v>
      </c>
      <c r="J120" s="23" t="s">
        <v>63</v>
      </c>
      <c r="K120" s="23" t="s">
        <v>71</v>
      </c>
      <c r="L120" s="5" t="s">
        <v>21</v>
      </c>
      <c r="M120" s="23" t="s">
        <v>103</v>
      </c>
      <c r="N120" s="54" t="s">
        <v>21</v>
      </c>
      <c r="O120" s="20" t="s">
        <v>21</v>
      </c>
      <c r="P120" s="20" t="s">
        <v>21</v>
      </c>
      <c r="Q120" s="14"/>
      <c r="R120" s="20" t="s">
        <v>119</v>
      </c>
      <c r="S120" s="1"/>
      <c r="T120" s="1"/>
      <c r="U120" s="1"/>
      <c r="V120" s="1"/>
      <c r="W120" s="1"/>
      <c r="X120" s="1"/>
      <c r="Y120" s="1"/>
      <c r="Z120" s="1"/>
      <c r="AA120" s="1"/>
      <c r="AB120" s="1"/>
      <c r="AC120" s="1"/>
      <c r="AD120" s="1"/>
      <c r="AE120" s="1"/>
    </row>
    <row r="121" spans="1:31" ht="12.75" customHeight="1" x14ac:dyDescent="0.2">
      <c r="A121" s="1" t="s">
        <v>87</v>
      </c>
      <c r="B121" s="1" t="s">
        <v>126</v>
      </c>
      <c r="C121" s="1"/>
      <c r="D121" s="10" t="str">
        <f>VLOOKUP(F121,Format!G:H,2,FALSE)</f>
        <v>CD player</v>
      </c>
      <c r="E121" s="10" t="str">
        <f>VLOOKUP(H121,Format!G:H,2,FALSE)</f>
        <v>Radio</v>
      </c>
      <c r="F121" s="15" t="s">
        <v>14</v>
      </c>
      <c r="G121" s="11" t="s">
        <v>70</v>
      </c>
      <c r="H121" s="16" t="s">
        <v>12</v>
      </c>
      <c r="I121" s="5" t="s">
        <v>102</v>
      </c>
      <c r="J121" s="23" t="s">
        <v>71</v>
      </c>
      <c r="K121" s="23" t="s">
        <v>35</v>
      </c>
      <c r="L121" s="5" t="s">
        <v>21</v>
      </c>
      <c r="M121" s="23" t="s">
        <v>21</v>
      </c>
      <c r="N121" s="54" t="s">
        <v>21</v>
      </c>
      <c r="O121" s="20" t="s">
        <v>21</v>
      </c>
      <c r="P121" s="5" t="s">
        <v>21</v>
      </c>
      <c r="Q121" s="14" t="s">
        <v>41</v>
      </c>
      <c r="R121" s="1"/>
      <c r="S121" s="1"/>
      <c r="T121" s="1"/>
      <c r="U121" s="1"/>
      <c r="V121" s="1"/>
      <c r="W121" s="1"/>
      <c r="X121" s="1"/>
      <c r="Y121" s="1"/>
      <c r="Z121" s="1"/>
      <c r="AA121" s="1"/>
      <c r="AB121" s="1"/>
      <c r="AC121" s="1"/>
      <c r="AD121" s="1"/>
      <c r="AE121" s="1"/>
    </row>
    <row r="122" spans="1:31" ht="12.75" customHeight="1" x14ac:dyDescent="0.2">
      <c r="A122" s="1"/>
      <c r="B122" s="1" t="s">
        <v>127</v>
      </c>
      <c r="C122" s="1"/>
      <c r="D122" s="10" t="str">
        <f>VLOOKUP(F122,Format!G:H,2,FALSE)</f>
        <v>CD player</v>
      </c>
      <c r="E122" s="10" t="str">
        <f>VLOOKUP(H122,Format!G:H,2,FALSE)</f>
        <v>Radio</v>
      </c>
      <c r="F122" s="15" t="s">
        <v>14</v>
      </c>
      <c r="G122" s="11" t="s">
        <v>70</v>
      </c>
      <c r="H122" s="16" t="s">
        <v>12</v>
      </c>
      <c r="I122" s="5" t="s">
        <v>102</v>
      </c>
      <c r="J122" s="23" t="s">
        <v>71</v>
      </c>
      <c r="K122" s="23" t="s">
        <v>35</v>
      </c>
      <c r="L122" s="5" t="s">
        <v>63</v>
      </c>
      <c r="M122" s="23" t="s">
        <v>21</v>
      </c>
      <c r="N122" s="54" t="s">
        <v>21</v>
      </c>
      <c r="O122" s="20" t="s">
        <v>21</v>
      </c>
      <c r="P122" s="5" t="s">
        <v>21</v>
      </c>
      <c r="Q122" s="14" t="s">
        <v>128</v>
      </c>
      <c r="R122" s="1"/>
      <c r="S122" s="1"/>
      <c r="T122" s="1"/>
      <c r="U122" s="1"/>
      <c r="V122" s="1"/>
      <c r="W122" s="1"/>
      <c r="X122" s="1"/>
      <c r="Y122" s="1"/>
      <c r="Z122" s="1"/>
      <c r="AA122" s="1"/>
      <c r="AB122" s="1"/>
      <c r="AC122" s="1"/>
      <c r="AD122" s="1"/>
      <c r="AE122" s="1"/>
    </row>
    <row r="123" spans="1:31" ht="12.75" customHeight="1" x14ac:dyDescent="0.2">
      <c r="A123" s="1"/>
      <c r="B123" s="1" t="s">
        <v>129</v>
      </c>
      <c r="C123" s="1"/>
      <c r="D123" s="10" t="str">
        <f>VLOOKUP(F123,Format!G:H,2,FALSE)</f>
        <v>CD player</v>
      </c>
      <c r="E123" s="10" t="str">
        <f>VLOOKUP(H123,Format!G:H,2,FALSE)</f>
        <v>Radio</v>
      </c>
      <c r="F123" s="15" t="s">
        <v>14</v>
      </c>
      <c r="G123" s="11" t="s">
        <v>70</v>
      </c>
      <c r="H123" s="16" t="s">
        <v>12</v>
      </c>
      <c r="I123" s="5" t="s">
        <v>102</v>
      </c>
      <c r="J123" s="23" t="s">
        <v>63</v>
      </c>
      <c r="K123" s="23" t="s">
        <v>35</v>
      </c>
      <c r="L123" s="5" t="s">
        <v>21</v>
      </c>
      <c r="M123" s="23" t="s">
        <v>130</v>
      </c>
      <c r="N123" s="54" t="s">
        <v>21</v>
      </c>
      <c r="O123" s="20" t="s">
        <v>21</v>
      </c>
      <c r="P123" s="5" t="s">
        <v>21</v>
      </c>
      <c r="Q123" s="14"/>
      <c r="R123" s="1"/>
      <c r="S123" s="1"/>
      <c r="T123" s="1"/>
      <c r="U123" s="1"/>
      <c r="V123" s="1"/>
      <c r="W123" s="1"/>
      <c r="X123" s="1"/>
      <c r="Y123" s="1"/>
      <c r="Z123" s="1"/>
      <c r="AA123" s="1"/>
      <c r="AB123" s="1"/>
      <c r="AC123" s="1"/>
      <c r="AD123" s="1"/>
      <c r="AE123" s="1"/>
    </row>
    <row r="124" spans="1:31" ht="12.75" customHeight="1" x14ac:dyDescent="0.2">
      <c r="A124" s="1"/>
      <c r="B124" s="1" t="s">
        <v>116</v>
      </c>
      <c r="C124" s="1"/>
      <c r="D124" s="10" t="str">
        <f>VLOOKUP(F124,Format!G:H,2,FALSE)</f>
        <v>CD player</v>
      </c>
      <c r="E124" s="10" t="str">
        <f>VLOOKUP(H124,Format!G:H,2,FALSE)</f>
        <v>Radio</v>
      </c>
      <c r="F124" s="15" t="s">
        <v>14</v>
      </c>
      <c r="G124" s="11" t="s">
        <v>70</v>
      </c>
      <c r="H124" s="16" t="s">
        <v>12</v>
      </c>
      <c r="I124" s="5" t="s">
        <v>102</v>
      </c>
      <c r="J124" s="23" t="s">
        <v>58</v>
      </c>
      <c r="K124" s="23" t="s">
        <v>35</v>
      </c>
      <c r="L124" s="5" t="s">
        <v>21</v>
      </c>
      <c r="M124" s="23" t="s">
        <v>130</v>
      </c>
      <c r="N124" s="54" t="s">
        <v>21</v>
      </c>
      <c r="O124" s="20" t="s">
        <v>21</v>
      </c>
      <c r="P124" s="20" t="s">
        <v>15</v>
      </c>
      <c r="Q124" s="14" t="s">
        <v>131</v>
      </c>
      <c r="R124" s="1"/>
      <c r="S124" s="1"/>
      <c r="T124" s="1"/>
      <c r="U124" s="1"/>
      <c r="V124" s="1"/>
      <c r="W124" s="1"/>
      <c r="X124" s="1"/>
      <c r="Y124" s="1"/>
      <c r="Z124" s="1"/>
      <c r="AA124" s="1"/>
      <c r="AB124" s="1"/>
      <c r="AC124" s="1"/>
      <c r="AD124" s="1"/>
      <c r="AE124" s="1"/>
    </row>
    <row r="125" spans="1:31" ht="12.75" customHeight="1" x14ac:dyDescent="0.2">
      <c r="A125" s="1"/>
      <c r="B125" s="1" t="s">
        <v>31</v>
      </c>
      <c r="C125" s="1"/>
      <c r="D125" s="10" t="str">
        <f>VLOOKUP(F125,Format!G:H,2,FALSE)</f>
        <v>CD player</v>
      </c>
      <c r="E125" s="10" t="str">
        <f>VLOOKUP(H125,Format!G:H,2,FALSE)</f>
        <v>Radio</v>
      </c>
      <c r="F125" s="15" t="s">
        <v>14</v>
      </c>
      <c r="G125" s="11" t="s">
        <v>70</v>
      </c>
      <c r="H125" s="16" t="s">
        <v>12</v>
      </c>
      <c r="I125" s="5" t="s">
        <v>102</v>
      </c>
      <c r="J125" s="23" t="s">
        <v>21</v>
      </c>
      <c r="K125" s="23" t="s">
        <v>35</v>
      </c>
      <c r="L125" s="5" t="s">
        <v>21</v>
      </c>
      <c r="M125" s="23" t="s">
        <v>130</v>
      </c>
      <c r="N125" s="54" t="s">
        <v>21</v>
      </c>
      <c r="O125" s="20" t="s">
        <v>25</v>
      </c>
      <c r="P125" s="20" t="s">
        <v>15</v>
      </c>
      <c r="Q125" s="14" t="s">
        <v>132</v>
      </c>
      <c r="R125" s="1"/>
      <c r="S125" s="1"/>
      <c r="T125" s="1"/>
      <c r="U125" s="1"/>
      <c r="V125" s="1"/>
      <c r="W125" s="1"/>
      <c r="X125" s="1"/>
      <c r="Y125" s="1"/>
      <c r="Z125" s="1"/>
      <c r="AA125" s="1"/>
      <c r="AB125" s="1"/>
      <c r="AC125" s="1"/>
      <c r="AD125" s="1"/>
      <c r="AE125" s="1"/>
    </row>
    <row r="126" spans="1:31" ht="12.75" customHeight="1" x14ac:dyDescent="0.2">
      <c r="A126" s="1"/>
      <c r="B126" s="1"/>
      <c r="C126" s="1"/>
      <c r="D126" s="1"/>
      <c r="E126" s="1"/>
      <c r="F126" s="1"/>
      <c r="G126" s="1"/>
      <c r="H126" s="1"/>
      <c r="I126" s="5"/>
      <c r="J126" s="23"/>
      <c r="K126" s="23"/>
      <c r="L126" s="5"/>
      <c r="M126" s="23"/>
      <c r="N126" s="54"/>
      <c r="O126" s="20"/>
      <c r="P126" s="5"/>
      <c r="Q126" s="14"/>
      <c r="R126" s="1"/>
      <c r="S126" s="1"/>
      <c r="T126" s="1"/>
      <c r="U126" s="1"/>
      <c r="V126" s="1"/>
      <c r="W126" s="1"/>
      <c r="X126" s="1"/>
      <c r="Y126" s="1"/>
      <c r="Z126" s="1"/>
      <c r="AA126" s="1"/>
      <c r="AB126" s="1"/>
      <c r="AC126" s="1"/>
      <c r="AD126" s="1"/>
      <c r="AE126" s="1"/>
    </row>
    <row r="127" spans="1:31" ht="15.75" customHeight="1" x14ac:dyDescent="0.25">
      <c r="A127" s="1"/>
      <c r="B127" s="6" t="s">
        <v>452</v>
      </c>
      <c r="C127" s="1"/>
      <c r="D127" s="1"/>
      <c r="E127" s="1"/>
      <c r="F127" s="1"/>
      <c r="G127" s="1"/>
      <c r="H127" s="1"/>
      <c r="I127" s="1"/>
      <c r="J127" s="1"/>
      <c r="K127" s="1"/>
      <c r="L127" s="1"/>
      <c r="M127" s="1"/>
      <c r="N127" s="1"/>
      <c r="O127" s="1"/>
      <c r="P127" s="1"/>
      <c r="Q127" s="5"/>
      <c r="R127" s="1"/>
      <c r="S127" s="1"/>
      <c r="T127" s="1"/>
      <c r="U127" s="1"/>
      <c r="V127" s="1"/>
      <c r="W127" s="1"/>
      <c r="X127" s="1"/>
      <c r="Y127" s="1"/>
      <c r="Z127" s="1"/>
      <c r="AA127" s="1"/>
      <c r="AB127" s="1"/>
      <c r="AC127" s="1"/>
      <c r="AD127" s="1"/>
      <c r="AE127" s="1"/>
    </row>
    <row r="128" spans="1:31" ht="12.75" customHeight="1" x14ac:dyDescent="0.2">
      <c r="A128" s="1"/>
      <c r="B128" s="1" t="s">
        <v>453</v>
      </c>
      <c r="C128" s="1"/>
      <c r="D128" s="10" t="str">
        <f>VLOOKUP(F128,Format!G:H,2,FALSE)</f>
        <v>IKE</v>
      </c>
      <c r="E128" s="10" t="str">
        <f>VLOOKUP(H128,Format!G:H,2,FALSE)</f>
        <v>LCM, Global</v>
      </c>
      <c r="F128" s="7" t="s">
        <v>214</v>
      </c>
      <c r="G128" s="11" t="s">
        <v>18</v>
      </c>
      <c r="H128" s="16" t="s">
        <v>337</v>
      </c>
      <c r="I128" s="1">
        <v>11</v>
      </c>
      <c r="J128" s="5" t="s">
        <v>21</v>
      </c>
      <c r="K128" s="14" t="s">
        <v>454</v>
      </c>
      <c r="L128" s="1"/>
      <c r="M128" s="1"/>
      <c r="N128" s="1"/>
      <c r="O128" s="1"/>
      <c r="P128" s="1"/>
      <c r="Q128" s="5"/>
      <c r="R128" s="1"/>
      <c r="S128" s="1"/>
      <c r="T128" s="1"/>
      <c r="U128" s="1"/>
      <c r="V128" s="1"/>
      <c r="W128" s="1"/>
      <c r="X128" s="1"/>
      <c r="Y128" s="1"/>
      <c r="Z128" s="1"/>
      <c r="AA128" s="1"/>
      <c r="AB128" s="1"/>
      <c r="AC128" s="1"/>
      <c r="AD128" s="1"/>
      <c r="AE128" s="1"/>
    </row>
    <row r="129" spans="1:31" ht="12.75" customHeight="1" x14ac:dyDescent="0.2">
      <c r="A129" s="1"/>
      <c r="B129" s="1" t="s">
        <v>455</v>
      </c>
      <c r="C129" s="1"/>
      <c r="D129" s="10" t="str">
        <f>VLOOKUP(F129,Format!G:H,2,FALSE)</f>
        <v>IKE</v>
      </c>
      <c r="E129" s="10" t="str">
        <f>VLOOKUP(H129,Format!G:H,2,FALSE)</f>
        <v>LCM, Global</v>
      </c>
      <c r="F129" s="7" t="s">
        <v>214</v>
      </c>
      <c r="G129" s="11" t="s">
        <v>18</v>
      </c>
      <c r="H129" s="16" t="s">
        <v>337</v>
      </c>
      <c r="I129" s="1">
        <v>11</v>
      </c>
      <c r="J129" s="5" t="s">
        <v>15</v>
      </c>
      <c r="K129" s="14" t="s">
        <v>456</v>
      </c>
      <c r="L129" s="1"/>
      <c r="M129" s="1"/>
      <c r="N129" s="1"/>
      <c r="O129" s="1"/>
      <c r="P129" s="1"/>
      <c r="Q129" s="5"/>
      <c r="R129" s="1"/>
      <c r="S129" s="1"/>
      <c r="T129" s="1"/>
      <c r="U129" s="1"/>
      <c r="V129" s="1"/>
      <c r="W129" s="1"/>
      <c r="X129" s="1"/>
      <c r="Y129" s="1"/>
      <c r="Z129" s="1"/>
      <c r="AA129" s="1"/>
      <c r="AB129" s="1"/>
      <c r="AC129" s="1"/>
      <c r="AD129" s="1"/>
      <c r="AE129" s="1"/>
    </row>
    <row r="130" spans="1:31" ht="15.75" customHeight="1" x14ac:dyDescent="0.25">
      <c r="A130" s="1"/>
      <c r="B130" s="6"/>
      <c r="C130" s="1"/>
      <c r="D130" s="1"/>
      <c r="E130" s="1"/>
      <c r="F130" s="1"/>
      <c r="G130" s="1"/>
      <c r="H130" s="1"/>
      <c r="I130" s="1"/>
      <c r="J130" s="1"/>
      <c r="K130" s="1"/>
      <c r="L130" s="1"/>
      <c r="M130" s="1"/>
      <c r="N130" s="1"/>
      <c r="O130" s="1"/>
      <c r="P130" s="1"/>
      <c r="Q130" s="5"/>
      <c r="R130" s="1"/>
      <c r="S130" s="1"/>
      <c r="T130" s="1"/>
      <c r="U130" s="1"/>
      <c r="V130" s="1"/>
      <c r="W130" s="1"/>
      <c r="X130" s="1"/>
      <c r="Y130" s="1"/>
      <c r="Z130" s="1"/>
      <c r="AA130" s="1"/>
      <c r="AB130" s="1"/>
      <c r="AC130" s="1"/>
      <c r="AD130" s="1"/>
      <c r="AE130" s="1"/>
    </row>
    <row r="131" spans="1:31" ht="12.75" customHeight="1" x14ac:dyDescent="0.2">
      <c r="A131" s="1"/>
      <c r="B131" s="1" t="s">
        <v>457</v>
      </c>
      <c r="C131" s="55" t="s">
        <v>458</v>
      </c>
      <c r="D131" s="10" t="str">
        <f>VLOOKUP(F131,Format!G:H,2,FALSE)</f>
        <v>IKE</v>
      </c>
      <c r="E131" s="10" t="str">
        <f>VLOOKUP(H131,Format!G:H,2,FALSE)</f>
        <v>LCM, Global</v>
      </c>
      <c r="F131" s="7" t="s">
        <v>214</v>
      </c>
      <c r="G131" s="11" t="s">
        <v>25</v>
      </c>
      <c r="H131" s="16" t="s">
        <v>337</v>
      </c>
      <c r="I131" s="5" t="s">
        <v>14</v>
      </c>
      <c r="J131" s="5" t="s">
        <v>21</v>
      </c>
      <c r="K131" s="5" t="s">
        <v>175</v>
      </c>
      <c r="L131" s="5" t="s">
        <v>459</v>
      </c>
      <c r="M131" s="1"/>
      <c r="N131" s="1"/>
      <c r="O131" s="1"/>
      <c r="P131" s="1"/>
      <c r="Q131" s="5"/>
      <c r="R131" s="1"/>
      <c r="S131" s="1"/>
      <c r="T131" s="1"/>
      <c r="U131" s="1"/>
      <c r="V131" s="1"/>
      <c r="W131" s="1"/>
      <c r="X131" s="1"/>
      <c r="Y131" s="1"/>
      <c r="Z131" s="1"/>
      <c r="AA131" s="1"/>
      <c r="AB131" s="1"/>
      <c r="AC131" s="1"/>
      <c r="AD131" s="1"/>
      <c r="AE131" s="1"/>
    </row>
    <row r="132" spans="1:31" ht="12.75" customHeight="1" x14ac:dyDescent="0.2">
      <c r="A132" s="56"/>
      <c r="B132" s="1" t="s">
        <v>460</v>
      </c>
      <c r="C132" s="55" t="s">
        <v>461</v>
      </c>
      <c r="D132" s="10" t="str">
        <f>VLOOKUP(F132,Format!G:H,2,FALSE)</f>
        <v>IKE</v>
      </c>
      <c r="E132" s="10" t="str">
        <f>VLOOKUP(H132,Format!G:H,2,FALSE)</f>
        <v>LCM, Global</v>
      </c>
      <c r="F132" s="15" t="s">
        <v>214</v>
      </c>
      <c r="G132" s="11" t="s">
        <v>46</v>
      </c>
      <c r="H132" s="16" t="s">
        <v>337</v>
      </c>
      <c r="I132" s="5" t="s">
        <v>462</v>
      </c>
      <c r="J132" s="5" t="s">
        <v>130</v>
      </c>
      <c r="K132" s="5" t="s">
        <v>463</v>
      </c>
      <c r="L132" s="5" t="s">
        <v>21</v>
      </c>
      <c r="M132" s="5" t="s">
        <v>27</v>
      </c>
      <c r="N132" s="1"/>
      <c r="O132" s="1"/>
      <c r="P132" s="1"/>
      <c r="Q132" s="5"/>
      <c r="R132" s="1"/>
      <c r="S132" s="1"/>
      <c r="T132" s="1"/>
      <c r="U132" s="1"/>
      <c r="V132" s="1"/>
      <c r="W132" s="1"/>
      <c r="X132" s="1"/>
      <c r="Y132" s="1"/>
      <c r="Z132" s="1"/>
      <c r="AA132" s="1"/>
      <c r="AB132" s="1"/>
      <c r="AC132" s="1"/>
      <c r="AD132" s="1"/>
      <c r="AE132" s="1"/>
    </row>
    <row r="133" spans="1:31" ht="12.75" customHeight="1" x14ac:dyDescent="0.2">
      <c r="A133" s="57"/>
      <c r="B133" s="1" t="s">
        <v>464</v>
      </c>
      <c r="C133" s="55" t="s">
        <v>465</v>
      </c>
      <c r="D133" s="10" t="str">
        <f>VLOOKUP(F133,Format!G:H,2,FALSE)</f>
        <v>IKE</v>
      </c>
      <c r="E133" s="10" t="str">
        <f>VLOOKUP(H133,Format!G:H,2,FALSE)</f>
        <v>LCM, Global</v>
      </c>
      <c r="F133" s="15" t="s">
        <v>214</v>
      </c>
      <c r="G133" s="11" t="s">
        <v>70</v>
      </c>
      <c r="H133" s="16" t="s">
        <v>337</v>
      </c>
      <c r="I133" s="5" t="s">
        <v>172</v>
      </c>
      <c r="J133" s="5" t="s">
        <v>21</v>
      </c>
      <c r="K133" s="5" t="s">
        <v>21</v>
      </c>
      <c r="L133" s="5" t="s">
        <v>21</v>
      </c>
      <c r="M133" s="5" t="s">
        <v>21</v>
      </c>
      <c r="N133" s="5" t="s">
        <v>21</v>
      </c>
      <c r="O133" s="5" t="s">
        <v>18</v>
      </c>
      <c r="P133" s="5" t="s">
        <v>180</v>
      </c>
      <c r="Q133" s="5" t="s">
        <v>466</v>
      </c>
      <c r="R133" s="1"/>
      <c r="S133" s="1"/>
      <c r="T133" s="1"/>
      <c r="U133" s="1"/>
      <c r="V133" s="1"/>
      <c r="W133" s="1"/>
      <c r="X133" s="1"/>
      <c r="Y133" s="1"/>
      <c r="Z133" s="1"/>
      <c r="AA133" s="1"/>
      <c r="AB133" s="1"/>
      <c r="AC133" s="1"/>
      <c r="AD133" s="1"/>
      <c r="AE133" s="1"/>
    </row>
    <row r="134" spans="1:31" ht="12.75" customHeight="1" x14ac:dyDescent="0.2">
      <c r="A134" s="1"/>
      <c r="B134" s="1"/>
      <c r="C134" s="1"/>
      <c r="D134" s="1"/>
      <c r="E134" s="1"/>
      <c r="F134" s="1"/>
      <c r="G134" s="1"/>
      <c r="H134" s="1"/>
      <c r="I134" s="1"/>
      <c r="J134" s="1"/>
      <c r="K134" s="1"/>
      <c r="L134" s="1"/>
      <c r="M134" s="1"/>
      <c r="N134" s="1"/>
      <c r="O134" s="1"/>
      <c r="P134" s="1"/>
      <c r="Q134" s="5"/>
      <c r="R134" s="1"/>
      <c r="S134" s="1"/>
      <c r="T134" s="1"/>
      <c r="U134" s="1"/>
      <c r="V134" s="1"/>
      <c r="W134" s="1"/>
      <c r="X134" s="1"/>
      <c r="Y134" s="1"/>
      <c r="Z134" s="1"/>
      <c r="AA134" s="1"/>
      <c r="AB134" s="1"/>
      <c r="AC134" s="1"/>
      <c r="AD134" s="1"/>
      <c r="AE134" s="1"/>
    </row>
    <row r="135" spans="1:31" ht="12.75" customHeight="1" x14ac:dyDescent="0.2">
      <c r="A135" s="1"/>
      <c r="B135" s="1" t="s">
        <v>467</v>
      </c>
      <c r="C135" s="1" t="s">
        <v>468</v>
      </c>
      <c r="D135" s="10" t="str">
        <f>VLOOKUP(F135,Format!G:H,2,FALSE)</f>
        <v>Nav Local</v>
      </c>
      <c r="E135" s="10" t="str">
        <f>VLOOKUP(H135,Format!G:H,2,FALSE)</f>
        <v>LCM, Global</v>
      </c>
      <c r="F135" s="15" t="s">
        <v>469</v>
      </c>
      <c r="G135" s="11" t="s">
        <v>63</v>
      </c>
      <c r="H135" s="16" t="s">
        <v>337</v>
      </c>
      <c r="I135" s="5" t="s">
        <v>470</v>
      </c>
      <c r="J135" s="5" t="s">
        <v>296</v>
      </c>
      <c r="K135" s="5" t="s">
        <v>21</v>
      </c>
      <c r="L135" s="5" t="s">
        <v>18</v>
      </c>
      <c r="M135" s="5" t="s">
        <v>21</v>
      </c>
      <c r="N135" s="5" t="s">
        <v>21</v>
      </c>
      <c r="O135" s="14" t="s">
        <v>14</v>
      </c>
      <c r="P135" s="1"/>
      <c r="Q135" s="5"/>
      <c r="R135" s="1"/>
      <c r="S135" s="1" t="s">
        <v>471</v>
      </c>
      <c r="T135" s="1"/>
      <c r="U135" s="1"/>
      <c r="V135" s="1"/>
      <c r="W135" s="1"/>
      <c r="X135" s="1"/>
      <c r="Y135" s="1"/>
      <c r="Z135" s="1"/>
      <c r="AA135" s="1"/>
      <c r="AB135" s="1"/>
      <c r="AC135" s="1"/>
      <c r="AD135" s="1"/>
      <c r="AE135" s="1"/>
    </row>
    <row r="136" spans="1:31" ht="12.75" customHeight="1" x14ac:dyDescent="0.2">
      <c r="A136" s="1"/>
      <c r="B136" s="1" t="s">
        <v>472</v>
      </c>
      <c r="C136" s="1" t="s">
        <v>473</v>
      </c>
      <c r="D136" s="10" t="str">
        <f>VLOOKUP(F136,Format!G:H,2,FALSE)</f>
        <v>Nav Local</v>
      </c>
      <c r="E136" s="10" t="str">
        <f>VLOOKUP(H136,Format!G:H,2,FALSE)</f>
        <v>LCM, Global</v>
      </c>
      <c r="F136" s="15" t="s">
        <v>469</v>
      </c>
      <c r="G136" s="11" t="s">
        <v>63</v>
      </c>
      <c r="H136" s="16" t="s">
        <v>337</v>
      </c>
      <c r="I136" s="5" t="s">
        <v>470</v>
      </c>
      <c r="J136" s="5" t="s">
        <v>166</v>
      </c>
      <c r="K136" s="5" t="s">
        <v>21</v>
      </c>
      <c r="L136" s="5" t="s">
        <v>18</v>
      </c>
      <c r="M136" s="5" t="s">
        <v>21</v>
      </c>
      <c r="N136" s="5" t="s">
        <v>21</v>
      </c>
      <c r="O136" s="14" t="s">
        <v>474</v>
      </c>
      <c r="P136" s="1"/>
      <c r="Q136" s="5"/>
      <c r="R136" s="1"/>
      <c r="S136" s="1" t="s">
        <v>475</v>
      </c>
      <c r="T136" s="1"/>
      <c r="U136" s="1"/>
      <c r="V136" s="1"/>
      <c r="W136" s="1"/>
      <c r="X136" s="1"/>
      <c r="Y136" s="1"/>
      <c r="Z136" s="1"/>
      <c r="AA136" s="1"/>
      <c r="AB136" s="1"/>
      <c r="AC136" s="1"/>
      <c r="AD136" s="1"/>
      <c r="AE136" s="1"/>
    </row>
    <row r="137" spans="1:31" ht="12.75" customHeight="1" x14ac:dyDescent="0.2">
      <c r="A137" s="1"/>
      <c r="B137" s="1" t="s">
        <v>476</v>
      </c>
      <c r="C137" s="1" t="s">
        <v>477</v>
      </c>
      <c r="D137" s="10" t="str">
        <f>VLOOKUP(F137,Format!G:H,2,FALSE)</f>
        <v>Nav Local</v>
      </c>
      <c r="E137" s="10" t="str">
        <f>VLOOKUP(H137,Format!G:H,2,FALSE)</f>
        <v>LCM, Global</v>
      </c>
      <c r="F137" s="15" t="s">
        <v>469</v>
      </c>
      <c r="G137" s="11" t="s">
        <v>63</v>
      </c>
      <c r="H137" s="16" t="s">
        <v>337</v>
      </c>
      <c r="I137" s="5" t="s">
        <v>470</v>
      </c>
      <c r="J137" s="5" t="s">
        <v>21</v>
      </c>
      <c r="K137" s="5" t="s">
        <v>21</v>
      </c>
      <c r="L137" s="5" t="s">
        <v>21</v>
      </c>
      <c r="M137" s="5" t="s">
        <v>21</v>
      </c>
      <c r="N137" s="5" t="s">
        <v>21</v>
      </c>
      <c r="O137" s="14" t="s">
        <v>155</v>
      </c>
      <c r="P137" s="1"/>
      <c r="Q137" s="5"/>
      <c r="R137" s="1"/>
      <c r="S137" s="1" t="s">
        <v>478</v>
      </c>
      <c r="T137" s="1"/>
      <c r="U137" s="1"/>
      <c r="V137" s="1"/>
      <c r="W137" s="1"/>
      <c r="X137" s="1"/>
      <c r="Y137" s="1"/>
      <c r="Z137" s="1"/>
      <c r="AA137" s="1"/>
      <c r="AB137" s="1"/>
      <c r="AC137" s="1"/>
      <c r="AD137" s="1"/>
      <c r="AE137" s="1"/>
    </row>
    <row r="138" spans="1:31" ht="12.75" customHeight="1" x14ac:dyDescent="0.2">
      <c r="A138" s="1"/>
      <c r="B138" s="1" t="s">
        <v>479</v>
      </c>
      <c r="C138" s="1" t="s">
        <v>480</v>
      </c>
      <c r="D138" s="10" t="str">
        <f>VLOOKUP(F138,Format!G:H,2,FALSE)</f>
        <v>Nav Local</v>
      </c>
      <c r="E138" s="10" t="str">
        <f>VLOOKUP(H138,Format!G:H,2,FALSE)</f>
        <v>LCM, Global</v>
      </c>
      <c r="F138" s="15" t="s">
        <v>469</v>
      </c>
      <c r="G138" s="11" t="s">
        <v>63</v>
      </c>
      <c r="H138" s="16" t="s">
        <v>337</v>
      </c>
      <c r="I138" s="5" t="s">
        <v>470</v>
      </c>
      <c r="J138" s="5" t="s">
        <v>481</v>
      </c>
      <c r="K138" s="5" t="s">
        <v>21</v>
      </c>
      <c r="L138" s="5" t="s">
        <v>18</v>
      </c>
      <c r="M138" s="5" t="s">
        <v>21</v>
      </c>
      <c r="N138" s="5" t="s">
        <v>21</v>
      </c>
      <c r="O138" s="14" t="s">
        <v>482</v>
      </c>
      <c r="P138" s="1"/>
      <c r="Q138" s="5"/>
      <c r="R138" s="1"/>
      <c r="S138" s="1" t="s">
        <v>483</v>
      </c>
      <c r="T138" s="1"/>
      <c r="U138" s="1"/>
      <c r="V138" s="1"/>
      <c r="W138" s="1"/>
      <c r="X138" s="1"/>
      <c r="Y138" s="1"/>
      <c r="Z138" s="1"/>
      <c r="AA138" s="1"/>
      <c r="AB138" s="1"/>
      <c r="AC138" s="1"/>
      <c r="AD138" s="1"/>
      <c r="AE138" s="1"/>
    </row>
    <row r="139" spans="1:31" ht="12.75" customHeight="1" x14ac:dyDescent="0.2">
      <c r="A139" s="1"/>
      <c r="B139" s="1"/>
      <c r="C139" s="1"/>
      <c r="D139" s="1"/>
      <c r="E139" s="1"/>
      <c r="F139" s="1"/>
      <c r="G139" s="1"/>
      <c r="H139" s="1"/>
      <c r="I139" s="1"/>
      <c r="J139" s="1"/>
      <c r="K139" s="1"/>
      <c r="L139" s="1"/>
      <c r="M139" s="1"/>
      <c r="N139" s="1"/>
      <c r="O139" s="1"/>
      <c r="P139" s="1"/>
      <c r="Q139" s="5"/>
      <c r="R139" s="1"/>
      <c r="S139" s="1"/>
      <c r="T139" s="1"/>
      <c r="U139" s="1"/>
      <c r="V139" s="1"/>
      <c r="W139" s="1"/>
      <c r="X139" s="1"/>
      <c r="Y139" s="1"/>
      <c r="Z139" s="1"/>
      <c r="AA139" s="1"/>
      <c r="AB139" s="1"/>
      <c r="AC139" s="1"/>
      <c r="AD139" s="1"/>
      <c r="AE139" s="1"/>
    </row>
    <row r="140" spans="1:31" ht="12.75" customHeight="1" x14ac:dyDescent="0.2">
      <c r="A140" s="1"/>
      <c r="B140" s="1" t="s">
        <v>484</v>
      </c>
      <c r="C140" s="1"/>
      <c r="D140" s="1" t="s">
        <v>452</v>
      </c>
      <c r="E140" s="10" t="str">
        <f>VLOOKUP(H140,Format!G:H,2,FALSE)</f>
        <v>LCM, Global</v>
      </c>
      <c r="F140" s="15">
        <v>80</v>
      </c>
      <c r="G140" s="11" t="s">
        <v>18</v>
      </c>
      <c r="H140" s="16" t="s">
        <v>337</v>
      </c>
      <c r="I140" s="1">
        <v>11</v>
      </c>
      <c r="J140" s="12" t="s">
        <v>58</v>
      </c>
      <c r="K140" s="13" t="s">
        <v>485</v>
      </c>
      <c r="L140" s="1"/>
      <c r="M140" s="1"/>
      <c r="N140" s="1"/>
      <c r="O140" s="1"/>
      <c r="P140" s="1"/>
      <c r="Q140" s="1"/>
      <c r="R140" s="1" t="s">
        <v>486</v>
      </c>
      <c r="S140" s="1"/>
      <c r="T140" s="1"/>
      <c r="U140" s="1"/>
      <c r="V140" s="1"/>
      <c r="W140" s="1"/>
      <c r="X140" s="1"/>
      <c r="Y140" s="1"/>
      <c r="Z140" s="1"/>
      <c r="AA140" s="1"/>
      <c r="AB140" s="1"/>
      <c r="AC140" s="1"/>
      <c r="AD140" s="1"/>
      <c r="AE140" s="1"/>
    </row>
    <row r="141" spans="1:31" ht="12.75" customHeight="1" x14ac:dyDescent="0.2">
      <c r="A141" s="1"/>
      <c r="B141" s="1" t="s">
        <v>484</v>
      </c>
      <c r="C141" s="1"/>
      <c r="D141" s="1" t="s">
        <v>452</v>
      </c>
      <c r="E141" s="10" t="str">
        <f>VLOOKUP(H141,Format!G:H,2,FALSE)</f>
        <v>LCM, Global</v>
      </c>
      <c r="F141" s="15">
        <v>80</v>
      </c>
      <c r="G141" s="11" t="s">
        <v>18</v>
      </c>
      <c r="H141" s="16" t="s">
        <v>337</v>
      </c>
      <c r="I141" s="1">
        <v>11</v>
      </c>
      <c r="J141" s="12" t="s">
        <v>13</v>
      </c>
      <c r="K141" s="13">
        <v>29</v>
      </c>
      <c r="L141" s="1"/>
      <c r="M141" s="1"/>
      <c r="N141" s="1"/>
      <c r="O141" s="1"/>
      <c r="P141" s="1"/>
      <c r="Q141" s="1"/>
      <c r="R141" s="1" t="s">
        <v>487</v>
      </c>
      <c r="S141" s="1"/>
      <c r="T141" s="1"/>
      <c r="U141" s="1"/>
      <c r="V141" s="1"/>
      <c r="W141" s="1"/>
      <c r="X141" s="1"/>
      <c r="Y141" s="1"/>
      <c r="Z141" s="1"/>
      <c r="AA141" s="1"/>
      <c r="AB141" s="1"/>
      <c r="AC141" s="1"/>
      <c r="AD141" s="1"/>
      <c r="AE141" s="1"/>
    </row>
    <row r="142" spans="1:31" ht="12.75" customHeight="1" x14ac:dyDescent="0.2">
      <c r="A142" s="1"/>
      <c r="B142" s="1"/>
      <c r="C142" s="1"/>
      <c r="D142" s="1"/>
      <c r="E142" s="1"/>
      <c r="F142" s="1"/>
      <c r="G142" s="1"/>
      <c r="H142" s="1"/>
      <c r="I142" s="1"/>
      <c r="J142" s="1"/>
      <c r="K142" s="1"/>
      <c r="L142" s="1"/>
      <c r="M142" s="1"/>
      <c r="N142" s="1"/>
      <c r="O142" s="1"/>
      <c r="P142" s="1"/>
      <c r="Q142" s="5"/>
      <c r="R142" s="1"/>
      <c r="S142" s="1"/>
      <c r="T142" s="1"/>
      <c r="U142" s="1"/>
      <c r="V142" s="1"/>
      <c r="W142" s="1"/>
      <c r="X142" s="1"/>
      <c r="Y142" s="1"/>
      <c r="Z142" s="1"/>
      <c r="AA142" s="1"/>
      <c r="AB142" s="1"/>
      <c r="AC142" s="1"/>
      <c r="AD142" s="1"/>
      <c r="AE142" s="1"/>
    </row>
    <row r="143" spans="1:31" ht="12.75" customHeight="1" x14ac:dyDescent="0.2">
      <c r="A143" s="58" t="s">
        <v>488</v>
      </c>
      <c r="B143" s="1" t="s">
        <v>489</v>
      </c>
      <c r="C143" s="1"/>
      <c r="D143" s="1" t="s">
        <v>452</v>
      </c>
      <c r="E143" s="10" t="str">
        <f>VLOOKUP(H143,Format!G:H,2,FALSE)</f>
        <v>LCM, Global</v>
      </c>
      <c r="F143" s="15">
        <v>80</v>
      </c>
      <c r="G143" s="11" t="s">
        <v>70</v>
      </c>
      <c r="H143" s="16" t="s">
        <v>337</v>
      </c>
      <c r="I143" s="1">
        <v>13</v>
      </c>
      <c r="J143" s="12" t="s">
        <v>21</v>
      </c>
      <c r="K143" s="12" t="s">
        <v>21</v>
      </c>
      <c r="L143" s="12" t="s">
        <v>21</v>
      </c>
      <c r="M143" s="12" t="s">
        <v>21</v>
      </c>
      <c r="N143" s="12" t="s">
        <v>21</v>
      </c>
      <c r="O143" s="1">
        <v>80</v>
      </c>
      <c r="P143" s="1">
        <v>39</v>
      </c>
      <c r="Q143" s="13" t="s">
        <v>490</v>
      </c>
      <c r="R143" s="1"/>
      <c r="S143" s="1"/>
      <c r="T143" s="1"/>
      <c r="U143" s="1"/>
      <c r="V143" s="1"/>
      <c r="W143" s="1"/>
      <c r="X143" s="1"/>
      <c r="Y143" s="1"/>
      <c r="Z143" s="1"/>
      <c r="AA143" s="1"/>
      <c r="AB143" s="1"/>
      <c r="AC143" s="1"/>
      <c r="AD143" s="1"/>
      <c r="AE143" s="1"/>
    </row>
    <row r="144" spans="1:31" ht="12.75" customHeight="1" x14ac:dyDescent="0.2">
      <c r="A144" s="58" t="s">
        <v>488</v>
      </c>
      <c r="B144" s="1" t="s">
        <v>489</v>
      </c>
      <c r="C144" s="1"/>
      <c r="D144" s="1" t="s">
        <v>452</v>
      </c>
      <c r="E144" s="10" t="str">
        <f>VLOOKUP(H144,Format!G:H,2,FALSE)</f>
        <v>LCM, Global</v>
      </c>
      <c r="F144" s="15">
        <v>80</v>
      </c>
      <c r="G144" s="11" t="s">
        <v>70</v>
      </c>
      <c r="H144" s="16" t="s">
        <v>337</v>
      </c>
      <c r="I144" s="1">
        <v>13</v>
      </c>
      <c r="J144" s="12" t="s">
        <v>21</v>
      </c>
      <c r="K144" s="12" t="s">
        <v>35</v>
      </c>
      <c r="L144" s="12" t="s">
        <v>21</v>
      </c>
      <c r="M144" s="12" t="s">
        <v>21</v>
      </c>
      <c r="N144" s="12" t="s">
        <v>21</v>
      </c>
      <c r="O144" s="1">
        <v>80</v>
      </c>
      <c r="P144" s="1">
        <v>39</v>
      </c>
      <c r="Q144" s="13" t="s">
        <v>491</v>
      </c>
      <c r="R144" s="1" t="s">
        <v>492</v>
      </c>
      <c r="S144" s="1"/>
      <c r="T144" s="1"/>
      <c r="U144" s="1"/>
      <c r="V144" s="1"/>
      <c r="W144" s="1"/>
      <c r="X144" s="1"/>
      <c r="Y144" s="1"/>
      <c r="Z144" s="1"/>
      <c r="AA144" s="1"/>
      <c r="AB144" s="1"/>
      <c r="AC144" s="1"/>
      <c r="AD144" s="1"/>
      <c r="AE144" s="1"/>
    </row>
    <row r="145" spans="1:31" ht="12.75" customHeight="1" x14ac:dyDescent="0.2">
      <c r="A145" s="58" t="s">
        <v>488</v>
      </c>
      <c r="B145" s="1" t="s">
        <v>489</v>
      </c>
      <c r="C145" s="1"/>
      <c r="D145" s="1" t="s">
        <v>452</v>
      </c>
      <c r="E145" s="10" t="str">
        <f>VLOOKUP(H145,Format!G:H,2,FALSE)</f>
        <v>LCM, Global</v>
      </c>
      <c r="F145" s="15">
        <v>80</v>
      </c>
      <c r="G145" s="11" t="s">
        <v>70</v>
      </c>
      <c r="H145" s="16" t="s">
        <v>337</v>
      </c>
      <c r="I145" s="1">
        <v>13</v>
      </c>
      <c r="J145" s="12" t="s">
        <v>21</v>
      </c>
      <c r="K145" s="12" t="s">
        <v>21</v>
      </c>
      <c r="L145" s="12" t="s">
        <v>21</v>
      </c>
      <c r="M145" s="12" t="s">
        <v>21</v>
      </c>
      <c r="N145" s="12" t="s">
        <v>21</v>
      </c>
      <c r="O145" s="1">
        <v>80</v>
      </c>
      <c r="P145" s="1">
        <v>39</v>
      </c>
      <c r="Q145" s="13" t="s">
        <v>491</v>
      </c>
      <c r="R145" s="1" t="s">
        <v>146</v>
      </c>
      <c r="S145" s="1"/>
      <c r="T145" s="1"/>
      <c r="U145" s="1"/>
      <c r="V145" s="1"/>
      <c r="W145" s="1"/>
      <c r="X145" s="1"/>
      <c r="Y145" s="1"/>
      <c r="Z145" s="1"/>
      <c r="AA145" s="1"/>
      <c r="AB145" s="1"/>
      <c r="AC145" s="1"/>
      <c r="AD145" s="1"/>
      <c r="AE145" s="1"/>
    </row>
    <row r="146" spans="1:31" ht="12.75" customHeight="1" x14ac:dyDescent="0.2">
      <c r="A146" s="58" t="s">
        <v>488</v>
      </c>
      <c r="B146" s="1" t="s">
        <v>489</v>
      </c>
      <c r="C146" s="1"/>
      <c r="D146" s="1" t="s">
        <v>452</v>
      </c>
      <c r="E146" s="10" t="str">
        <f>VLOOKUP(H146,Format!G:H,2,FALSE)</f>
        <v>LCM, Global</v>
      </c>
      <c r="F146" s="15">
        <v>80</v>
      </c>
      <c r="G146" s="11" t="s">
        <v>70</v>
      </c>
      <c r="H146" s="16" t="s">
        <v>337</v>
      </c>
      <c r="I146" s="1">
        <v>13</v>
      </c>
      <c r="J146" s="12" t="s">
        <v>21</v>
      </c>
      <c r="K146" s="12" t="s">
        <v>35</v>
      </c>
      <c r="L146" s="12" t="s">
        <v>21</v>
      </c>
      <c r="M146" s="12" t="s">
        <v>21</v>
      </c>
      <c r="N146" s="12" t="s">
        <v>21</v>
      </c>
      <c r="O146" s="12">
        <v>84</v>
      </c>
      <c r="P146" s="1">
        <v>39</v>
      </c>
      <c r="Q146" s="13">
        <v>99</v>
      </c>
      <c r="R146" s="1" t="s">
        <v>492</v>
      </c>
      <c r="S146" s="1"/>
      <c r="T146" s="1"/>
      <c r="U146" s="1"/>
      <c r="V146" s="1"/>
      <c r="W146" s="1"/>
      <c r="X146" s="1"/>
      <c r="Y146" s="1"/>
      <c r="Z146" s="1"/>
      <c r="AA146" s="1"/>
      <c r="AB146" s="1"/>
      <c r="AC146" s="1"/>
      <c r="AD146" s="1"/>
      <c r="AE146" s="1"/>
    </row>
    <row r="147" spans="1:31" ht="12.75" customHeight="1" x14ac:dyDescent="0.2">
      <c r="A147" s="58" t="s">
        <v>488</v>
      </c>
      <c r="B147" s="1" t="s">
        <v>493</v>
      </c>
      <c r="C147" s="1"/>
      <c r="D147" s="1" t="s">
        <v>452</v>
      </c>
      <c r="E147" s="10" t="str">
        <f>VLOOKUP(H147,Format!G:H,2,FALSE)</f>
        <v>Nav Local</v>
      </c>
      <c r="F147" s="15" t="s">
        <v>103</v>
      </c>
      <c r="G147" s="11" t="s">
        <v>18</v>
      </c>
      <c r="H147" s="16" t="s">
        <v>469</v>
      </c>
      <c r="I147" s="12" t="s">
        <v>35</v>
      </c>
      <c r="J147" s="12" t="s">
        <v>35</v>
      </c>
      <c r="K147" s="13" t="s">
        <v>494</v>
      </c>
      <c r="L147" s="1"/>
      <c r="M147" s="1"/>
      <c r="N147" s="1"/>
      <c r="O147" s="1"/>
      <c r="P147" s="1"/>
      <c r="Q147" s="1"/>
      <c r="R147" s="1" t="s">
        <v>495</v>
      </c>
      <c r="S147" s="1"/>
      <c r="T147" s="1"/>
      <c r="U147" s="1"/>
      <c r="V147" s="1"/>
      <c r="W147" s="1"/>
      <c r="X147" s="1"/>
      <c r="Y147" s="1"/>
      <c r="Z147" s="1"/>
      <c r="AA147" s="1"/>
      <c r="AB147" s="1"/>
      <c r="AC147" s="1"/>
      <c r="AD147" s="1"/>
      <c r="AE147" s="1"/>
    </row>
    <row r="148" spans="1:31" ht="12.75" customHeight="1" x14ac:dyDescent="0.2">
      <c r="A148" s="58" t="s">
        <v>488</v>
      </c>
      <c r="B148" s="1" t="s">
        <v>496</v>
      </c>
      <c r="C148" s="1"/>
      <c r="D148" s="1" t="s">
        <v>452</v>
      </c>
      <c r="E148" s="10" t="str">
        <f>VLOOKUP(H148,Format!G:H,2,FALSE)</f>
        <v>Nav Local</v>
      </c>
      <c r="F148" s="15">
        <v>80</v>
      </c>
      <c r="G148" s="11" t="s">
        <v>13</v>
      </c>
      <c r="H148" s="16" t="s">
        <v>469</v>
      </c>
      <c r="I148" s="1">
        <v>53</v>
      </c>
      <c r="J148" s="13" t="s">
        <v>21</v>
      </c>
      <c r="K148" s="1"/>
      <c r="L148" s="1"/>
      <c r="M148" s="1"/>
      <c r="N148" s="1"/>
      <c r="O148" s="1"/>
      <c r="P148" s="1"/>
      <c r="Q148" s="1"/>
      <c r="R148" s="1"/>
      <c r="S148" s="1"/>
      <c r="T148" s="1"/>
      <c r="U148" s="1"/>
      <c r="V148" s="1"/>
      <c r="W148" s="1"/>
      <c r="X148" s="1"/>
      <c r="Y148" s="1"/>
      <c r="Z148" s="1"/>
      <c r="AA148" s="1"/>
      <c r="AB148" s="1"/>
      <c r="AC148" s="1"/>
      <c r="AD148" s="1"/>
      <c r="AE148" s="1"/>
    </row>
    <row r="149" spans="1:31" ht="12.75" customHeight="1" x14ac:dyDescent="0.2">
      <c r="A149" s="58"/>
      <c r="B149" s="1"/>
      <c r="C149" s="1"/>
      <c r="D149" s="1"/>
      <c r="E149" s="1"/>
      <c r="F149" s="1"/>
      <c r="G149" s="11"/>
      <c r="H149" s="1"/>
      <c r="I149" s="1"/>
      <c r="J149" s="13"/>
      <c r="K149" s="1"/>
      <c r="L149" s="1"/>
      <c r="M149" s="1"/>
      <c r="N149" s="1"/>
      <c r="O149" s="1"/>
      <c r="P149" s="1"/>
      <c r="Q149" s="1"/>
      <c r="R149" s="1"/>
      <c r="S149" s="1"/>
      <c r="T149" s="1"/>
      <c r="U149" s="1"/>
      <c r="V149" s="1"/>
      <c r="W149" s="1"/>
      <c r="X149" s="1"/>
      <c r="Y149" s="1"/>
      <c r="Z149" s="1"/>
      <c r="AA149" s="1"/>
      <c r="AB149" s="1"/>
      <c r="AC149" s="1"/>
      <c r="AD149" s="1"/>
      <c r="AE149" s="1"/>
    </row>
    <row r="150" spans="1:31" ht="12.75" customHeight="1" x14ac:dyDescent="0.2">
      <c r="A150" s="1"/>
      <c r="B150" s="1" t="s">
        <v>497</v>
      </c>
      <c r="C150" s="1" t="s">
        <v>498</v>
      </c>
      <c r="D150" s="10" t="str">
        <f>VLOOKUP(F150,Format!G:H,2,FALSE)</f>
        <v>Radio</v>
      </c>
      <c r="E150" s="10" t="str">
        <f>VLOOKUP(H150,Format!G:H,2,FALSE)</f>
        <v>IKE</v>
      </c>
      <c r="F150" s="15" t="s">
        <v>12</v>
      </c>
      <c r="G150" s="11">
        <v>17</v>
      </c>
      <c r="H150" s="16" t="s">
        <v>214</v>
      </c>
      <c r="I150" s="5" t="s">
        <v>499</v>
      </c>
      <c r="J150" s="5" t="s">
        <v>375</v>
      </c>
      <c r="K150" s="5" t="s">
        <v>130</v>
      </c>
      <c r="L150" s="5" t="s">
        <v>466</v>
      </c>
      <c r="M150" s="5" t="s">
        <v>21</v>
      </c>
      <c r="N150" s="5" t="s">
        <v>500</v>
      </c>
      <c r="O150" s="5" t="s">
        <v>501</v>
      </c>
      <c r="P150" s="5" t="s">
        <v>502</v>
      </c>
      <c r="Q150" s="5" t="s">
        <v>503</v>
      </c>
      <c r="R150" s="5" t="s">
        <v>504</v>
      </c>
      <c r="S150" s="5" t="s">
        <v>505</v>
      </c>
      <c r="T150" s="5" t="s">
        <v>502</v>
      </c>
      <c r="U150" s="5" t="s">
        <v>506</v>
      </c>
      <c r="V150" s="1"/>
      <c r="W150" s="1" t="s">
        <v>507</v>
      </c>
      <c r="X150" s="1" t="s">
        <v>508</v>
      </c>
      <c r="Y150" s="1" t="s">
        <v>503</v>
      </c>
      <c r="Z150" s="1" t="s">
        <v>505</v>
      </c>
      <c r="AA150" s="1"/>
      <c r="AB150" s="1"/>
      <c r="AC150" s="1"/>
      <c r="AD150" s="1"/>
      <c r="AE150" s="1"/>
    </row>
    <row r="151" spans="1:31" ht="12.75" customHeight="1" x14ac:dyDescent="0.2">
      <c r="A151" s="1"/>
      <c r="B151" s="1"/>
      <c r="C151" s="1" t="s">
        <v>509</v>
      </c>
      <c r="D151" s="1"/>
      <c r="E151" s="1"/>
      <c r="F151" s="15"/>
      <c r="G151" s="1"/>
      <c r="H151" s="16"/>
      <c r="I151" s="5"/>
      <c r="J151" s="5"/>
      <c r="K151" s="5"/>
      <c r="L151" s="5"/>
      <c r="M151" s="5"/>
      <c r="N151" s="5"/>
      <c r="O151" s="5"/>
      <c r="P151" s="5"/>
      <c r="Q151" s="5"/>
      <c r="R151" s="5"/>
      <c r="S151" s="5"/>
      <c r="T151" s="5"/>
      <c r="U151" s="5"/>
      <c r="V151" s="1"/>
      <c r="W151" s="1"/>
      <c r="X151" s="1"/>
      <c r="Y151" s="1"/>
      <c r="Z151" s="1"/>
      <c r="AA151" s="1"/>
      <c r="AB151" s="1"/>
      <c r="AC151" s="1"/>
      <c r="AD151" s="1"/>
      <c r="AE151" s="1"/>
    </row>
    <row r="152" spans="1:31" ht="15.75" customHeight="1" x14ac:dyDescent="0.25">
      <c r="A152" s="1"/>
      <c r="B152" s="6" t="s">
        <v>510</v>
      </c>
      <c r="C152" s="1" t="s">
        <v>511</v>
      </c>
      <c r="D152" s="1"/>
      <c r="E152" s="1"/>
      <c r="F152" s="15"/>
      <c r="G152" s="1"/>
      <c r="H152" s="16"/>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2.75" customHeight="1" x14ac:dyDescent="0.2">
      <c r="A153" s="1"/>
      <c r="B153" s="52" t="s">
        <v>379</v>
      </c>
      <c r="C153" s="1"/>
      <c r="D153" s="10" t="str">
        <f>VLOOKUP(F153,Format!G:H,2,FALSE)</f>
        <v xml:space="preserve">DIS Unknown </v>
      </c>
      <c r="E153" s="10" t="str">
        <f>VLOOKUP(H153,Format!G:H,2,FALSE)</f>
        <v>Tel</v>
      </c>
      <c r="F153" s="15" t="s">
        <v>292</v>
      </c>
      <c r="G153" s="11" t="s">
        <v>13</v>
      </c>
      <c r="H153" s="16" t="s">
        <v>512</v>
      </c>
      <c r="I153" s="1">
        <v>0</v>
      </c>
      <c r="J153" s="13" t="s">
        <v>513</v>
      </c>
      <c r="K153" s="1"/>
      <c r="L153" s="1"/>
      <c r="M153" s="1"/>
      <c r="N153" s="1"/>
      <c r="O153" s="1"/>
      <c r="P153" s="1"/>
      <c r="Q153" s="1"/>
      <c r="R153" s="1"/>
      <c r="S153" s="1"/>
      <c r="T153" s="1"/>
      <c r="U153" s="1"/>
      <c r="V153" s="1"/>
      <c r="W153" s="1"/>
      <c r="X153" s="1"/>
      <c r="Y153" s="1"/>
      <c r="Z153" s="1"/>
      <c r="AA153" s="1"/>
      <c r="AB153" s="1"/>
      <c r="AC153" s="1"/>
      <c r="AD153" s="1"/>
      <c r="AE153" s="1"/>
    </row>
    <row r="154" spans="1:31" ht="12.75" customHeight="1" x14ac:dyDescent="0.2">
      <c r="A154" s="1"/>
      <c r="B154" s="1" t="s">
        <v>514</v>
      </c>
      <c r="C154" s="1" t="s">
        <v>515</v>
      </c>
      <c r="D154" s="1" t="s">
        <v>516</v>
      </c>
      <c r="E154" s="1" t="s">
        <v>452</v>
      </c>
      <c r="F154" s="15" t="s">
        <v>210</v>
      </c>
      <c r="G154" s="11" t="s">
        <v>25</v>
      </c>
      <c r="H154" s="16" t="s">
        <v>214</v>
      </c>
      <c r="I154" s="1">
        <v>23</v>
      </c>
      <c r="J154" s="1">
        <v>41</v>
      </c>
      <c r="K154" s="1">
        <v>20</v>
      </c>
      <c r="L154" s="13" t="s">
        <v>86</v>
      </c>
      <c r="M154" s="1"/>
      <c r="N154" s="1"/>
      <c r="O154" s="1"/>
      <c r="P154" s="1"/>
      <c r="Q154" s="1"/>
      <c r="R154" s="1" t="str">
        <f>CONCATENATE(F154,G154,H154,I154,J154,K154)</f>
        <v>C80580234120</v>
      </c>
      <c r="S154" s="1"/>
      <c r="T154" s="1"/>
      <c r="U154" s="1"/>
      <c r="V154" s="1" t="s">
        <v>517</v>
      </c>
      <c r="W154" s="1"/>
      <c r="X154" s="1"/>
      <c r="Y154" s="1"/>
      <c r="Z154" s="1"/>
      <c r="AA154" s="1"/>
      <c r="AB154" s="1" t="s">
        <v>518</v>
      </c>
      <c r="AC154" s="1"/>
      <c r="AD154" s="1"/>
      <c r="AE154" s="1"/>
    </row>
    <row r="155" spans="1:31" ht="12.75" customHeight="1" x14ac:dyDescent="0.2">
      <c r="A155" s="56"/>
      <c r="B155" s="1" t="s">
        <v>519</v>
      </c>
      <c r="C155" s="1" t="s">
        <v>520</v>
      </c>
      <c r="D155" s="1" t="s">
        <v>516</v>
      </c>
      <c r="E155" s="1" t="s">
        <v>452</v>
      </c>
      <c r="F155" s="15" t="s">
        <v>210</v>
      </c>
      <c r="G155" s="11">
        <v>11</v>
      </c>
      <c r="H155" s="16" t="s">
        <v>214</v>
      </c>
      <c r="I155" s="1">
        <v>23</v>
      </c>
      <c r="J155" s="1">
        <v>42</v>
      </c>
      <c r="K155" s="1">
        <v>30</v>
      </c>
      <c r="L155" s="1" t="s">
        <v>521</v>
      </c>
      <c r="M155" s="1" t="s">
        <v>521</v>
      </c>
      <c r="N155" s="1" t="s">
        <v>521</v>
      </c>
      <c r="O155" s="1" t="s">
        <v>521</v>
      </c>
      <c r="P155" s="1" t="s">
        <v>521</v>
      </c>
      <c r="Q155" s="1" t="s">
        <v>521</v>
      </c>
      <c r="R155" s="13"/>
      <c r="S155" s="1"/>
      <c r="T155" s="1" t="s">
        <v>522</v>
      </c>
      <c r="U155" s="1"/>
      <c r="V155" s="1"/>
      <c r="W155" s="1"/>
      <c r="X155" s="1"/>
      <c r="Y155" s="1"/>
      <c r="Z155" s="1"/>
      <c r="AA155" s="1"/>
      <c r="AB155" s="1"/>
      <c r="AC155" s="1"/>
      <c r="AD155" s="1"/>
      <c r="AE155" s="1"/>
    </row>
    <row r="156" spans="1:31" ht="12.75" customHeight="1" x14ac:dyDescent="0.2">
      <c r="A156" s="57"/>
      <c r="B156" s="1" t="s">
        <v>523</v>
      </c>
      <c r="C156" s="1" t="s">
        <v>524</v>
      </c>
      <c r="D156" s="1" t="s">
        <v>516</v>
      </c>
      <c r="E156" s="1" t="s">
        <v>452</v>
      </c>
      <c r="F156" s="15" t="s">
        <v>210</v>
      </c>
      <c r="G156" s="11" t="s">
        <v>70</v>
      </c>
      <c r="H156" s="16" t="s">
        <v>214</v>
      </c>
      <c r="I156" s="1">
        <v>23</v>
      </c>
      <c r="J156" s="1">
        <v>42</v>
      </c>
      <c r="K156" s="1">
        <v>30</v>
      </c>
      <c r="L156" s="1">
        <v>68</v>
      </c>
      <c r="M156" s="1">
        <v>65</v>
      </c>
      <c r="N156" s="1" t="s">
        <v>525</v>
      </c>
      <c r="O156" s="1" t="s">
        <v>525</v>
      </c>
      <c r="P156" s="1" t="s">
        <v>526</v>
      </c>
      <c r="Q156" s="13">
        <v>71</v>
      </c>
      <c r="R156" s="1"/>
      <c r="S156" s="1"/>
      <c r="T156" s="1" t="s">
        <v>527</v>
      </c>
      <c r="U156" s="1"/>
      <c r="V156" s="1"/>
      <c r="W156" s="1"/>
      <c r="X156" s="1"/>
      <c r="Y156" s="1"/>
      <c r="Z156" s="1"/>
      <c r="AA156" s="1"/>
      <c r="AB156" s="1" t="s">
        <v>528</v>
      </c>
      <c r="AC156" s="1"/>
      <c r="AD156" s="1"/>
      <c r="AE156" s="1"/>
    </row>
    <row r="157" spans="1:31" ht="12.75" customHeight="1" x14ac:dyDescent="0.2">
      <c r="A157" s="1"/>
      <c r="B157" s="1" t="s">
        <v>529</v>
      </c>
      <c r="C157" s="1" t="s">
        <v>515</v>
      </c>
      <c r="D157" s="1" t="s">
        <v>516</v>
      </c>
      <c r="E157" s="1" t="s">
        <v>452</v>
      </c>
      <c r="F157" s="15" t="s">
        <v>20</v>
      </c>
      <c r="G157" s="11" t="s">
        <v>25</v>
      </c>
      <c r="H157" s="16" t="s">
        <v>214</v>
      </c>
      <c r="I157" s="1">
        <v>41</v>
      </c>
      <c r="J157" s="12" t="s">
        <v>15</v>
      </c>
      <c r="K157" s="12" t="s">
        <v>15</v>
      </c>
      <c r="L157" s="13"/>
      <c r="M157" s="1"/>
      <c r="N157" s="1"/>
      <c r="O157" s="1"/>
      <c r="P157" s="1"/>
      <c r="Q157" s="1"/>
      <c r="R157" s="1" t="str">
        <f>CONCATENATE(F157,G157,H157,I157,J157,K157)</f>
        <v>3B0580410101</v>
      </c>
      <c r="S157" s="1"/>
      <c r="T157" s="1"/>
      <c r="U157" s="1"/>
      <c r="V157" s="1"/>
      <c r="W157" s="1"/>
      <c r="X157" s="1"/>
      <c r="Y157" s="1"/>
      <c r="Z157" s="1"/>
      <c r="AA157" s="1"/>
      <c r="AB157" s="1"/>
      <c r="AC157" s="1"/>
      <c r="AD157" s="1"/>
      <c r="AE157" s="1"/>
    </row>
    <row r="158" spans="1:31" ht="12.75" customHeight="1" x14ac:dyDescent="0.2">
      <c r="A158" s="56"/>
      <c r="B158" s="1" t="s">
        <v>523</v>
      </c>
      <c r="C158" s="1" t="s">
        <v>530</v>
      </c>
      <c r="D158" s="1" t="s">
        <v>377</v>
      </c>
      <c r="E158" s="1" t="s">
        <v>452</v>
      </c>
      <c r="F158" s="15">
        <v>68</v>
      </c>
      <c r="G158" s="11" t="s">
        <v>70</v>
      </c>
      <c r="H158" s="16" t="s">
        <v>214</v>
      </c>
      <c r="I158" s="1">
        <v>23</v>
      </c>
      <c r="J158" s="1">
        <v>42</v>
      </c>
      <c r="K158" s="1">
        <v>30</v>
      </c>
      <c r="L158" s="1">
        <v>68</v>
      </c>
      <c r="M158" s="1">
        <v>65</v>
      </c>
      <c r="N158" s="1" t="s">
        <v>525</v>
      </c>
      <c r="O158" s="1" t="s">
        <v>525</v>
      </c>
      <c r="P158" s="1" t="s">
        <v>526</v>
      </c>
      <c r="Q158" s="13"/>
      <c r="R158" s="1"/>
      <c r="S158" s="1"/>
      <c r="T158" s="1"/>
      <c r="U158" s="1"/>
      <c r="V158" s="1"/>
      <c r="W158" s="1"/>
      <c r="X158" s="1"/>
      <c r="Y158" s="1"/>
      <c r="Z158" s="1"/>
      <c r="AA158" s="1"/>
      <c r="AB158" s="1" t="s">
        <v>528</v>
      </c>
      <c r="AC158" s="1"/>
      <c r="AD158" s="1"/>
      <c r="AE158" s="1"/>
    </row>
    <row r="159" spans="1:31" ht="12.75" customHeight="1" x14ac:dyDescent="0.2">
      <c r="A159" s="57"/>
      <c r="B159" s="1"/>
      <c r="C159" s="1" t="s">
        <v>531</v>
      </c>
      <c r="D159" s="1"/>
      <c r="E159" s="1"/>
      <c r="F159" s="15">
        <v>68</v>
      </c>
      <c r="G159" s="11" t="s">
        <v>70</v>
      </c>
      <c r="H159" s="16" t="s">
        <v>214</v>
      </c>
      <c r="I159" s="1">
        <v>23</v>
      </c>
      <c r="J159" s="1">
        <v>62</v>
      </c>
      <c r="K159" s="1">
        <v>30</v>
      </c>
      <c r="L159" s="1">
        <v>68</v>
      </c>
      <c r="M159" s="1">
        <v>65</v>
      </c>
      <c r="N159" s="1" t="s">
        <v>525</v>
      </c>
      <c r="O159" s="1" t="s">
        <v>525</v>
      </c>
      <c r="P159" s="1" t="s">
        <v>526</v>
      </c>
      <c r="Q159" s="13"/>
      <c r="R159" s="1"/>
      <c r="S159" s="1" t="s">
        <v>532</v>
      </c>
      <c r="T159" s="1"/>
      <c r="U159" s="1"/>
      <c r="V159" s="1"/>
      <c r="W159" s="1"/>
      <c r="X159" s="1"/>
      <c r="Y159" s="1"/>
      <c r="Z159" s="1"/>
      <c r="AA159" s="1"/>
      <c r="AB159" s="1"/>
      <c r="AC159" s="1"/>
      <c r="AD159" s="1"/>
      <c r="AE159" s="1"/>
    </row>
    <row r="160" spans="1:31" ht="12.75" customHeight="1" x14ac:dyDescent="0.2">
      <c r="A160" s="56"/>
      <c r="B160" s="1"/>
      <c r="C160" s="1"/>
      <c r="D160" s="1"/>
      <c r="E160" s="1"/>
      <c r="F160" s="15">
        <v>80</v>
      </c>
      <c r="G160" s="11" t="s">
        <v>71</v>
      </c>
      <c r="H160" s="16" t="s">
        <v>19</v>
      </c>
      <c r="I160" s="1">
        <v>24</v>
      </c>
      <c r="J160" s="1" t="s">
        <v>70</v>
      </c>
      <c r="K160" s="12" t="s">
        <v>21</v>
      </c>
      <c r="L160" s="1">
        <v>20</v>
      </c>
      <c r="M160" s="1">
        <v>36</v>
      </c>
      <c r="N160" s="1" t="s">
        <v>533</v>
      </c>
      <c r="O160" s="1">
        <v>39</v>
      </c>
      <c r="P160" s="13">
        <v>59</v>
      </c>
      <c r="Q160" s="1"/>
      <c r="R160" s="1"/>
      <c r="S160" s="1" t="s">
        <v>534</v>
      </c>
      <c r="T160" s="1"/>
      <c r="U160" s="1"/>
      <c r="V160" s="1"/>
      <c r="W160" s="1"/>
      <c r="X160" s="1"/>
      <c r="Y160" s="1"/>
      <c r="Z160" s="1"/>
      <c r="AA160" s="1"/>
      <c r="AB160" s="1"/>
      <c r="AC160" s="1"/>
      <c r="AD160" s="1"/>
      <c r="AE160" s="1"/>
    </row>
    <row r="161" spans="1:31" ht="12.75" customHeight="1" x14ac:dyDescent="0.2">
      <c r="A161" s="1"/>
      <c r="B161" s="1"/>
      <c r="C161" s="1"/>
      <c r="D161" s="1"/>
      <c r="E161" s="1"/>
      <c r="F161" s="15">
        <v>80</v>
      </c>
      <c r="G161" s="11" t="s">
        <v>71</v>
      </c>
      <c r="H161" s="16" t="s">
        <v>19</v>
      </c>
      <c r="I161" s="1">
        <v>24</v>
      </c>
      <c r="J161" s="1" t="s">
        <v>70</v>
      </c>
      <c r="K161" s="12" t="s">
        <v>21</v>
      </c>
      <c r="L161" s="1">
        <v>20</v>
      </c>
      <c r="M161" s="1">
        <v>37</v>
      </c>
      <c r="N161" s="1" t="s">
        <v>533</v>
      </c>
      <c r="O161" s="1">
        <v>30</v>
      </c>
      <c r="P161" s="13">
        <v>51</v>
      </c>
      <c r="Q161" s="1"/>
      <c r="R161" s="1"/>
      <c r="S161" s="1" t="s">
        <v>535</v>
      </c>
      <c r="T161" s="1"/>
      <c r="U161" s="1"/>
      <c r="V161" s="1"/>
      <c r="W161" s="1"/>
      <c r="X161" s="1"/>
      <c r="Y161" s="1"/>
      <c r="Z161" s="1"/>
      <c r="AA161" s="1"/>
      <c r="AB161" s="1"/>
      <c r="AC161" s="1"/>
      <c r="AD161" s="1"/>
      <c r="AE161" s="1"/>
    </row>
    <row r="162" spans="1:31" ht="12.75" customHeight="1" x14ac:dyDescent="0.2">
      <c r="A162" s="1"/>
      <c r="B162" s="1" t="s">
        <v>536</v>
      </c>
      <c r="C162" s="1"/>
      <c r="D162" s="1" t="s">
        <v>452</v>
      </c>
      <c r="E162" s="10" t="str">
        <f>VLOOKUP(H162,Format!G:H,2,FALSE)</f>
        <v>General news 2</v>
      </c>
      <c r="F162" s="15">
        <v>80</v>
      </c>
      <c r="G162" s="11" t="s">
        <v>71</v>
      </c>
      <c r="H162" s="16" t="s">
        <v>19</v>
      </c>
      <c r="I162" s="1">
        <v>24</v>
      </c>
      <c r="J162" s="12" t="s">
        <v>18</v>
      </c>
      <c r="K162" s="12" t="s">
        <v>21</v>
      </c>
      <c r="L162" s="1">
        <v>39</v>
      </c>
      <c r="M162" s="1">
        <v>39</v>
      </c>
      <c r="N162" s="1" t="s">
        <v>533</v>
      </c>
      <c r="O162" s="1">
        <v>39</v>
      </c>
      <c r="P162" s="13">
        <v>41</v>
      </c>
      <c r="Q162" s="1"/>
      <c r="R162" s="1" t="s">
        <v>537</v>
      </c>
      <c r="S162" s="1"/>
      <c r="T162" s="1"/>
      <c r="U162" s="1"/>
      <c r="V162" s="1"/>
      <c r="W162" s="1"/>
      <c r="X162" s="1"/>
      <c r="Y162" s="1"/>
      <c r="Z162" s="1"/>
      <c r="AA162" s="1"/>
      <c r="AB162" s="1"/>
      <c r="AC162" s="1"/>
      <c r="AD162" s="1"/>
      <c r="AE162" s="1"/>
    </row>
    <row r="163" spans="1:31" ht="12.75" customHeight="1" x14ac:dyDescent="0.2">
      <c r="A163" s="1"/>
      <c r="B163" s="1" t="s">
        <v>536</v>
      </c>
      <c r="C163" s="1"/>
      <c r="D163" s="1" t="s">
        <v>452</v>
      </c>
      <c r="E163" s="10" t="str">
        <f>VLOOKUP(H163,Format!G:H,2,FALSE)</f>
        <v>General news 2</v>
      </c>
      <c r="F163" s="15">
        <v>80</v>
      </c>
      <c r="G163" s="11" t="s">
        <v>71</v>
      </c>
      <c r="H163" s="16" t="s">
        <v>19</v>
      </c>
      <c r="I163" s="1">
        <v>24</v>
      </c>
      <c r="J163" s="12" t="s">
        <v>46</v>
      </c>
      <c r="K163" s="12" t="s">
        <v>21</v>
      </c>
      <c r="L163" s="1">
        <v>31</v>
      </c>
      <c r="M163" s="1">
        <v>31</v>
      </c>
      <c r="N163" s="1">
        <v>38</v>
      </c>
      <c r="O163" s="1">
        <v>30</v>
      </c>
      <c r="P163" s="13" t="s">
        <v>538</v>
      </c>
      <c r="Q163" s="1"/>
      <c r="R163" s="1" t="s">
        <v>539</v>
      </c>
      <c r="S163" s="1"/>
      <c r="T163" s="1"/>
      <c r="U163" s="1"/>
      <c r="V163" s="1"/>
      <c r="W163" s="1"/>
      <c r="X163" s="1"/>
      <c r="Y163" s="1"/>
      <c r="Z163" s="1"/>
      <c r="AA163" s="1"/>
      <c r="AB163" s="1"/>
      <c r="AC163" s="1"/>
      <c r="AD163" s="1"/>
      <c r="AE163" s="1"/>
    </row>
    <row r="164" spans="1:31" ht="12.75" customHeight="1" x14ac:dyDescent="0.2">
      <c r="A164" s="1"/>
      <c r="B164" s="1" t="s">
        <v>536</v>
      </c>
      <c r="C164" s="1"/>
      <c r="D164" s="1" t="s">
        <v>452</v>
      </c>
      <c r="E164" s="10" t="str">
        <f>VLOOKUP(H164,Format!G:H,2,FALSE)</f>
        <v>General news 2</v>
      </c>
      <c r="F164" s="15">
        <v>80</v>
      </c>
      <c r="G164" s="11" t="s">
        <v>71</v>
      </c>
      <c r="H164" s="16" t="s">
        <v>19</v>
      </c>
      <c r="I164" s="1">
        <v>24</v>
      </c>
      <c r="J164" s="1" t="s">
        <v>70</v>
      </c>
      <c r="K164" s="12" t="s">
        <v>21</v>
      </c>
      <c r="L164" s="1">
        <v>20</v>
      </c>
      <c r="M164" s="1">
        <v>36</v>
      </c>
      <c r="N164" s="1" t="s">
        <v>533</v>
      </c>
      <c r="O164" s="1">
        <v>39</v>
      </c>
      <c r="P164" s="13">
        <v>59</v>
      </c>
      <c r="Q164" s="1"/>
      <c r="R164" s="1" t="s">
        <v>534</v>
      </c>
      <c r="S164" s="1"/>
      <c r="T164" s="1"/>
      <c r="U164" s="1"/>
      <c r="V164" s="1"/>
      <c r="W164" s="1"/>
      <c r="X164" s="1"/>
      <c r="Y164" s="1"/>
      <c r="Z164" s="1"/>
      <c r="AA164" s="1"/>
      <c r="AB164" s="1"/>
      <c r="AC164" s="1"/>
      <c r="AD164" s="1"/>
      <c r="AE164" s="1"/>
    </row>
    <row r="165" spans="1:31" ht="12.75" customHeight="1" x14ac:dyDescent="0.2">
      <c r="A165" s="1"/>
      <c r="B165" s="1" t="s">
        <v>536</v>
      </c>
      <c r="C165" s="1"/>
      <c r="D165" s="1" t="s">
        <v>452</v>
      </c>
      <c r="E165" s="10" t="str">
        <f>VLOOKUP(H165,Format!G:H,2,FALSE)</f>
        <v>General news 2</v>
      </c>
      <c r="F165" s="15">
        <v>80</v>
      </c>
      <c r="G165" s="11" t="s">
        <v>71</v>
      </c>
      <c r="H165" s="16" t="s">
        <v>19</v>
      </c>
      <c r="I165" s="1">
        <v>24</v>
      </c>
      <c r="J165" s="12" t="s">
        <v>13</v>
      </c>
      <c r="K165" s="12" t="s">
        <v>21</v>
      </c>
      <c r="L165" s="1" t="s">
        <v>456</v>
      </c>
      <c r="M165" s="1">
        <v>31</v>
      </c>
      <c r="N165" s="1">
        <v>31</v>
      </c>
      <c r="O165" s="1">
        <v>38</v>
      </c>
      <c r="P165" s="13">
        <v>42</v>
      </c>
      <c r="Q165" s="1"/>
      <c r="R165" s="1" t="s">
        <v>540</v>
      </c>
      <c r="S165" s="1"/>
      <c r="T165" s="1"/>
      <c r="U165" s="1"/>
      <c r="V165" s="1"/>
      <c r="W165" s="1"/>
      <c r="X165" s="1"/>
      <c r="Y165" s="1"/>
      <c r="Z165" s="1"/>
      <c r="AA165" s="1"/>
      <c r="AB165" s="1"/>
      <c r="AC165" s="1"/>
      <c r="AD165" s="1"/>
      <c r="AE165" s="1"/>
    </row>
    <row r="166" spans="1:31" ht="12.75" customHeight="1" x14ac:dyDescent="0.2">
      <c r="A166" s="1"/>
      <c r="B166" s="1" t="s">
        <v>541</v>
      </c>
      <c r="C166" s="1"/>
      <c r="D166" s="1" t="s">
        <v>542</v>
      </c>
      <c r="E166" s="1"/>
      <c r="F166" s="15">
        <v>68</v>
      </c>
      <c r="G166" s="11" t="s">
        <v>71</v>
      </c>
      <c r="H166" s="16">
        <v>80</v>
      </c>
      <c r="I166" s="1">
        <v>24</v>
      </c>
      <c r="J166" s="12" t="s">
        <v>13</v>
      </c>
      <c r="K166" s="12" t="s">
        <v>21</v>
      </c>
      <c r="L166" s="1" t="s">
        <v>456</v>
      </c>
      <c r="M166" s="1">
        <v>31</v>
      </c>
      <c r="N166" s="1">
        <v>30</v>
      </c>
      <c r="O166" s="1">
        <v>30</v>
      </c>
      <c r="P166" s="13" t="s">
        <v>543</v>
      </c>
      <c r="Q166" s="1"/>
      <c r="R166" s="1" t="s">
        <v>544</v>
      </c>
      <c r="S166" s="1"/>
      <c r="T166" s="1"/>
      <c r="U166" s="1"/>
      <c r="V166" s="1"/>
      <c r="W166" s="1"/>
      <c r="X166" s="1"/>
      <c r="Y166" s="1"/>
      <c r="Z166" s="1"/>
      <c r="AA166" s="1" t="s">
        <v>545</v>
      </c>
      <c r="AB166" s="1"/>
      <c r="AC166" s="1"/>
      <c r="AD166" s="1"/>
      <c r="AE166" s="1"/>
    </row>
    <row r="167" spans="1:31" ht="15.75" customHeight="1" x14ac:dyDescent="0.25">
      <c r="A167" s="1"/>
      <c r="B167" s="6" t="s">
        <v>546</v>
      </c>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5">
      <c r="A170" s="1"/>
      <c r="B170" s="6" t="s">
        <v>547</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75" customHeight="1" x14ac:dyDescent="0.2">
      <c r="A171" s="1"/>
      <c r="B171" s="1" t="s">
        <v>548</v>
      </c>
      <c r="C171" s="1"/>
      <c r="D171" s="1" t="s">
        <v>549</v>
      </c>
      <c r="E171" s="1"/>
      <c r="F171" s="59" t="s">
        <v>550</v>
      </c>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75" customHeight="1" x14ac:dyDescent="0.2">
      <c r="A172" s="1"/>
      <c r="B172" s="1" t="s">
        <v>551</v>
      </c>
      <c r="C172" s="1"/>
      <c r="D172" s="1" t="s">
        <v>549</v>
      </c>
      <c r="E172" s="1"/>
      <c r="F172" s="59" t="s">
        <v>552</v>
      </c>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75" customHeight="1" x14ac:dyDescent="0.2">
      <c r="A173" s="1"/>
      <c r="B173" s="1" t="s">
        <v>553</v>
      </c>
      <c r="C173" s="1"/>
      <c r="D173" s="1" t="s">
        <v>549</v>
      </c>
      <c r="E173" s="1"/>
      <c r="F173" s="59" t="s">
        <v>554</v>
      </c>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ustomHeight="1" x14ac:dyDescent="0.2">
      <c r="A174" s="1"/>
      <c r="B174" s="12" t="s">
        <v>97</v>
      </c>
      <c r="C174" s="1"/>
      <c r="D174" s="1" t="s">
        <v>549</v>
      </c>
      <c r="E174" s="1"/>
      <c r="F174" s="59" t="s">
        <v>555</v>
      </c>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ustomHeight="1" x14ac:dyDescent="0.2">
      <c r="A175" s="1"/>
      <c r="B175" s="1"/>
      <c r="C175" s="1"/>
      <c r="D175" s="1"/>
      <c r="E175" s="1"/>
      <c r="F175" s="59"/>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ustomHeight="1" x14ac:dyDescent="0.2">
      <c r="A176" s="1"/>
      <c r="B176" s="12" t="s">
        <v>556</v>
      </c>
      <c r="C176" s="1"/>
      <c r="D176" s="1" t="s">
        <v>557</v>
      </c>
      <c r="E176" s="1"/>
      <c r="F176" s="59" t="s">
        <v>558</v>
      </c>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ustomHeight="1" x14ac:dyDescent="0.2">
      <c r="A177" s="1"/>
      <c r="B177" s="1" t="s">
        <v>551</v>
      </c>
      <c r="C177" s="1"/>
      <c r="D177" s="1" t="s">
        <v>557</v>
      </c>
      <c r="E177" s="1"/>
      <c r="F177" s="59" t="s">
        <v>559</v>
      </c>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ustomHeight="1" x14ac:dyDescent="0.2">
      <c r="A178" s="1"/>
      <c r="B178" s="1" t="s">
        <v>553</v>
      </c>
      <c r="C178" s="1"/>
      <c r="D178" s="1" t="s">
        <v>557</v>
      </c>
      <c r="E178" s="1"/>
      <c r="F178" s="59" t="s">
        <v>560</v>
      </c>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ustomHeight="1" x14ac:dyDescent="0.2">
      <c r="A179" s="1"/>
      <c r="B179" s="12" t="s">
        <v>97</v>
      </c>
      <c r="C179" s="1"/>
      <c r="D179" s="1" t="s">
        <v>557</v>
      </c>
      <c r="E179" s="1"/>
      <c r="F179" s="59" t="s">
        <v>555</v>
      </c>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ustomHeight="1" x14ac:dyDescent="0.2">
      <c r="A181" s="1"/>
      <c r="B181" s="1" t="s">
        <v>97</v>
      </c>
      <c r="C181" s="1"/>
      <c r="D181" s="1"/>
      <c r="E181" s="1"/>
      <c r="F181" s="53" t="s">
        <v>561</v>
      </c>
      <c r="G181" s="1"/>
      <c r="H181" s="1"/>
      <c r="I181" s="1"/>
      <c r="J181" s="1"/>
      <c r="K181" s="1"/>
      <c r="L181" s="1"/>
      <c r="M181" s="1"/>
      <c r="N181" s="1"/>
      <c r="O181" s="1"/>
      <c r="P181" s="1"/>
      <c r="Q181" s="1"/>
      <c r="R181" s="1"/>
      <c r="S181" s="1"/>
      <c r="T181" s="1"/>
      <c r="U181" s="1"/>
      <c r="V181" s="1" t="s">
        <v>562</v>
      </c>
      <c r="W181" s="1"/>
      <c r="X181" s="1"/>
      <c r="Y181" s="1"/>
      <c r="Z181" s="1"/>
      <c r="AA181" s="1"/>
      <c r="AB181" s="1"/>
      <c r="AC181" s="1"/>
      <c r="AD181" s="1"/>
      <c r="AE181" s="1"/>
    </row>
    <row r="182" spans="1:31"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ustomHeight="1" x14ac:dyDescent="0.2">
      <c r="A183" s="55" t="s">
        <v>458</v>
      </c>
      <c r="B183" s="1" t="s">
        <v>563</v>
      </c>
      <c r="C183" s="1"/>
      <c r="D183" s="1"/>
      <c r="E183" s="1"/>
      <c r="F183" s="60" t="s">
        <v>564</v>
      </c>
      <c r="G183" s="61" t="s">
        <v>565</v>
      </c>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ustomHeight="1" x14ac:dyDescent="0.2">
      <c r="A184" s="55" t="s">
        <v>461</v>
      </c>
      <c r="B184" s="1" t="s">
        <v>566</v>
      </c>
      <c r="C184" s="1"/>
      <c r="D184" s="1"/>
      <c r="E184" s="1"/>
      <c r="F184" s="60" t="s">
        <v>567</v>
      </c>
      <c r="G184" s="61" t="s">
        <v>568</v>
      </c>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ustomHeight="1" x14ac:dyDescent="0.2">
      <c r="A185" s="55" t="s">
        <v>465</v>
      </c>
      <c r="B185" s="1" t="s">
        <v>569</v>
      </c>
      <c r="C185" s="1"/>
      <c r="D185" s="1"/>
      <c r="E185" s="1"/>
      <c r="F185" s="1">
        <f>48*9/5+32</f>
        <v>118.4</v>
      </c>
      <c r="G185" s="1">
        <f>93*9/5+32</f>
        <v>199.4</v>
      </c>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5">
      <c r="A187" s="1"/>
      <c r="B187" s="6" t="s">
        <v>570</v>
      </c>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ustomHeight="1" x14ac:dyDescent="0.2">
      <c r="A188" s="1"/>
      <c r="B188" s="1" t="s">
        <v>571</v>
      </c>
      <c r="C188" s="1"/>
      <c r="D188" s="10" t="str">
        <f>VLOOKUP(F188,Format!G:H,2,FALSE)</f>
        <v>IHKA</v>
      </c>
      <c r="E188" s="10" t="str">
        <f>VLOOKUP(H188,Format!G:H,2,FALSE)</f>
        <v>IKE</v>
      </c>
      <c r="F188" s="15" t="s">
        <v>470</v>
      </c>
      <c r="G188" s="11" t="s">
        <v>25</v>
      </c>
      <c r="H188" s="16">
        <v>80</v>
      </c>
      <c r="I188" s="1">
        <v>83</v>
      </c>
      <c r="J188" s="62">
        <v>80</v>
      </c>
      <c r="K188" s="12" t="s">
        <v>63</v>
      </c>
      <c r="L188" s="13" t="s">
        <v>572</v>
      </c>
      <c r="M188" s="1"/>
      <c r="N188" s="1" t="s">
        <v>573</v>
      </c>
      <c r="O188" s="1"/>
      <c r="P188" s="1"/>
      <c r="Q188" s="1"/>
      <c r="R188" s="1"/>
      <c r="S188" s="1"/>
      <c r="T188" s="1"/>
      <c r="U188" s="1"/>
      <c r="V188" s="1"/>
      <c r="W188" s="1"/>
      <c r="X188" s="1"/>
      <c r="Y188" s="1"/>
      <c r="Z188" s="1"/>
      <c r="AA188" s="1"/>
      <c r="AB188" s="1"/>
      <c r="AC188" s="1"/>
      <c r="AD188" s="1"/>
      <c r="AE188" s="1"/>
    </row>
    <row r="189" spans="1:31" ht="12.75" customHeight="1" x14ac:dyDescent="0.2">
      <c r="A189" s="1"/>
      <c r="B189" s="1" t="s">
        <v>571</v>
      </c>
      <c r="C189" s="1"/>
      <c r="D189" s="10" t="str">
        <f>VLOOKUP(F189,Format!G:H,2,FALSE)</f>
        <v>IHKA</v>
      </c>
      <c r="E189" s="10" t="str">
        <f>VLOOKUP(H189,Format!G:H,2,FALSE)</f>
        <v>IKE</v>
      </c>
      <c r="F189" s="15" t="s">
        <v>470</v>
      </c>
      <c r="G189" s="11" t="s">
        <v>25</v>
      </c>
      <c r="H189" s="16">
        <v>80</v>
      </c>
      <c r="I189" s="1">
        <v>83</v>
      </c>
      <c r="J189" s="62" t="s">
        <v>574</v>
      </c>
      <c r="K189" s="12" t="s">
        <v>21</v>
      </c>
      <c r="L189" s="13">
        <v>98</v>
      </c>
      <c r="M189" s="1"/>
      <c r="N189" s="1"/>
      <c r="O189" s="1"/>
      <c r="P189" s="1"/>
      <c r="Q189" s="1"/>
      <c r="R189" s="1"/>
      <c r="S189" s="1"/>
      <c r="T189" s="1"/>
      <c r="U189" s="1"/>
      <c r="V189" s="1"/>
      <c r="W189" s="1"/>
      <c r="X189" s="1"/>
      <c r="Y189" s="1"/>
      <c r="Z189" s="1"/>
      <c r="AA189" s="1"/>
      <c r="AB189" s="1"/>
      <c r="AC189" s="1"/>
      <c r="AD189" s="1"/>
      <c r="AE189" s="1"/>
    </row>
    <row r="190" spans="1:31" ht="12.75" customHeight="1" x14ac:dyDescent="0.2">
      <c r="A190" s="1"/>
      <c r="B190" s="1" t="s">
        <v>575</v>
      </c>
      <c r="C190" s="1"/>
      <c r="D190" s="10" t="str">
        <f>VLOOKUP(F190,Format!G:H,2,FALSE)</f>
        <v>IHKA</v>
      </c>
      <c r="E190" s="10" t="str">
        <f>VLOOKUP(H190,Format!G:H,2,FALSE)</f>
        <v>IKE</v>
      </c>
      <c r="F190" s="15" t="s">
        <v>470</v>
      </c>
      <c r="G190" s="11" t="s">
        <v>25</v>
      </c>
      <c r="H190" s="16">
        <v>80</v>
      </c>
      <c r="I190" s="1">
        <v>83</v>
      </c>
      <c r="J190" s="62" t="s">
        <v>21</v>
      </c>
      <c r="K190" s="12" t="s">
        <v>21</v>
      </c>
      <c r="L190" s="13" t="s">
        <v>463</v>
      </c>
      <c r="M190" s="1"/>
      <c r="N190" s="1"/>
      <c r="O190" s="1"/>
      <c r="P190" s="1"/>
      <c r="Q190" s="1"/>
      <c r="R190" s="1"/>
      <c r="S190" s="1"/>
      <c r="T190" s="1"/>
      <c r="U190" s="1"/>
      <c r="V190" s="1"/>
      <c r="W190" s="1"/>
      <c r="X190" s="1"/>
      <c r="Y190" s="1"/>
      <c r="Z190" s="1"/>
      <c r="AA190" s="1"/>
      <c r="AB190" s="1"/>
      <c r="AC190" s="1"/>
      <c r="AD190" s="1"/>
      <c r="AE190" s="1"/>
    </row>
    <row r="191" spans="1:31" ht="12.75" customHeight="1" x14ac:dyDescent="0.2">
      <c r="A191" s="1"/>
      <c r="B191" s="1"/>
      <c r="C191" s="1"/>
      <c r="D191" s="1"/>
      <c r="E191" s="1"/>
      <c r="F191" s="1"/>
      <c r="G191" s="11"/>
      <c r="H191" s="1"/>
      <c r="I191" s="1"/>
      <c r="J191" s="62"/>
      <c r="K191" s="12"/>
      <c r="L191" s="1"/>
      <c r="M191" s="1"/>
      <c r="N191" s="1"/>
      <c r="O191" s="1"/>
      <c r="P191" s="1"/>
      <c r="Q191" s="1"/>
      <c r="R191" s="1"/>
      <c r="S191" s="1"/>
      <c r="T191" s="1"/>
      <c r="U191" s="1"/>
      <c r="V191" s="1"/>
      <c r="W191" s="1"/>
      <c r="X191" s="1"/>
      <c r="Y191" s="1"/>
      <c r="Z191" s="1"/>
      <c r="AA191" s="1"/>
      <c r="AB191" s="1"/>
      <c r="AC191" s="1"/>
      <c r="AD191" s="1"/>
      <c r="AE191" s="1"/>
    </row>
    <row r="192" spans="1:31" ht="12.75" customHeight="1" x14ac:dyDescent="0.2">
      <c r="A192" s="1"/>
      <c r="B192" s="1" t="s">
        <v>576</v>
      </c>
      <c r="C192" s="1"/>
      <c r="D192" s="10" t="str">
        <f>VLOOKUP(F192,Format!G:H,2,FALSE)</f>
        <v>IHKA</v>
      </c>
      <c r="E192" s="10" t="str">
        <f>VLOOKUP(H192,Format!G:H,2,FALSE)</f>
        <v>IKE</v>
      </c>
      <c r="F192" s="15" t="s">
        <v>470</v>
      </c>
      <c r="G192" s="11" t="s">
        <v>18</v>
      </c>
      <c r="H192" s="16" t="s">
        <v>214</v>
      </c>
      <c r="I192" s="1" t="s">
        <v>577</v>
      </c>
      <c r="J192" s="62" t="s">
        <v>214</v>
      </c>
      <c r="K192" s="13" t="s">
        <v>543</v>
      </c>
      <c r="L192" s="1"/>
      <c r="M192" s="1"/>
      <c r="N192" s="1"/>
      <c r="O192" s="1"/>
      <c r="P192" s="1"/>
      <c r="Q192" s="1"/>
      <c r="R192" s="1"/>
      <c r="S192" s="1"/>
      <c r="T192" s="1"/>
      <c r="U192" s="1"/>
      <c r="V192" s="1"/>
      <c r="W192" s="1"/>
      <c r="X192" s="1"/>
      <c r="Y192" s="1"/>
      <c r="Z192" s="1"/>
      <c r="AA192" s="1"/>
      <c r="AB192" s="1"/>
      <c r="AC192" s="1"/>
      <c r="AD192" s="1"/>
      <c r="AE192" s="1"/>
    </row>
    <row r="193" spans="1:31" ht="12.75" customHeight="1" x14ac:dyDescent="0.2">
      <c r="A193" s="1"/>
      <c r="B193" s="1" t="s">
        <v>576</v>
      </c>
      <c r="C193" s="1"/>
      <c r="D193" s="10" t="str">
        <f>VLOOKUP(F193,Format!G:H,2,FALSE)</f>
        <v>IHKA</v>
      </c>
      <c r="E193" s="10" t="str">
        <f>VLOOKUP(H193,Format!G:H,2,FALSE)</f>
        <v>IKE</v>
      </c>
      <c r="F193" s="15" t="s">
        <v>470</v>
      </c>
      <c r="G193" s="11" t="s">
        <v>18</v>
      </c>
      <c r="H193" s="16" t="s">
        <v>214</v>
      </c>
      <c r="I193" s="1" t="s">
        <v>577</v>
      </c>
      <c r="J193" s="62" t="s">
        <v>578</v>
      </c>
      <c r="K193" s="13" t="s">
        <v>579</v>
      </c>
      <c r="L193" s="1"/>
      <c r="M193" s="1"/>
      <c r="N193" s="1"/>
      <c r="O193" s="1"/>
      <c r="P193" s="1"/>
      <c r="Q193" s="1"/>
      <c r="R193" s="1"/>
      <c r="S193" s="1"/>
      <c r="T193" s="1"/>
      <c r="U193" s="1"/>
      <c r="V193" s="1"/>
      <c r="W193" s="1"/>
      <c r="X193" s="1"/>
      <c r="Y193" s="1"/>
      <c r="Z193" s="1"/>
      <c r="AA193" s="1"/>
      <c r="AB193" s="1"/>
      <c r="AC193" s="1"/>
      <c r="AD193" s="1"/>
      <c r="AE193" s="1"/>
    </row>
    <row r="194" spans="1:31" ht="12.75" customHeight="1" x14ac:dyDescent="0.2">
      <c r="A194" s="1"/>
      <c r="B194" s="1" t="s">
        <v>580</v>
      </c>
      <c r="C194" s="1"/>
      <c r="D194" s="10" t="str">
        <f>VLOOKUP(F194,Format!G:H,2,FALSE)</f>
        <v>IHKA</v>
      </c>
      <c r="E194" s="10" t="str">
        <f>VLOOKUP(H194,Format!G:H,2,FALSE)</f>
        <v>IKE</v>
      </c>
      <c r="F194" s="15" t="s">
        <v>470</v>
      </c>
      <c r="G194" s="11" t="s">
        <v>18</v>
      </c>
      <c r="H194" s="16" t="s">
        <v>214</v>
      </c>
      <c r="I194" s="1" t="s">
        <v>577</v>
      </c>
      <c r="J194" s="62" t="s">
        <v>21</v>
      </c>
      <c r="K194" s="13" t="s">
        <v>538</v>
      </c>
      <c r="L194" s="1"/>
      <c r="M194" s="1"/>
      <c r="N194" s="1"/>
      <c r="O194" s="1"/>
      <c r="P194" s="1"/>
      <c r="Q194" s="1"/>
      <c r="R194" s="1"/>
      <c r="S194" s="1"/>
      <c r="T194" s="1"/>
      <c r="U194" s="1"/>
      <c r="V194" s="1"/>
      <c r="W194" s="1"/>
      <c r="X194" s="1"/>
      <c r="Y194" s="1"/>
      <c r="Z194" s="1"/>
      <c r="AA194" s="1"/>
      <c r="AB194" s="1"/>
      <c r="AC194" s="1"/>
      <c r="AD194" s="1"/>
      <c r="AE194" s="1"/>
    </row>
    <row r="195" spans="1:31" ht="12.75" customHeight="1" x14ac:dyDescent="0.2">
      <c r="A195" s="1"/>
      <c r="B195" s="1"/>
      <c r="C195" s="1"/>
      <c r="D195" s="1"/>
      <c r="E195" s="1"/>
      <c r="F195" s="1"/>
      <c r="G195" s="11"/>
      <c r="H195" s="1"/>
      <c r="I195" s="1"/>
      <c r="J195" s="62"/>
      <c r="K195" s="13"/>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5">
      <c r="A196" s="1"/>
      <c r="B196" s="6" t="s">
        <v>581</v>
      </c>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ustomHeight="1" x14ac:dyDescent="0.2">
      <c r="A197" s="1"/>
      <c r="B197" s="1" t="s">
        <v>582</v>
      </c>
      <c r="C197" s="1"/>
      <c r="D197" s="10" t="str">
        <f>VLOOKUP(F197,Format!G:H,2,FALSE)</f>
        <v>Immobilizer</v>
      </c>
      <c r="E197" s="10" t="str">
        <f>VLOOKUP(H197,Format!G:H,2,FALSE)</f>
        <v>LCM, Global</v>
      </c>
      <c r="F197" s="59" t="s">
        <v>234</v>
      </c>
      <c r="G197" s="11" t="s">
        <v>25</v>
      </c>
      <c r="H197" s="16" t="s">
        <v>337</v>
      </c>
      <c r="I197" s="1">
        <v>74</v>
      </c>
      <c r="J197" s="12" t="s">
        <v>15</v>
      </c>
      <c r="K197" s="12" t="s">
        <v>21</v>
      </c>
      <c r="L197" s="13" t="s">
        <v>583</v>
      </c>
      <c r="M197" s="1"/>
      <c r="N197" s="1"/>
      <c r="O197" s="1"/>
      <c r="P197" s="1"/>
      <c r="Q197" s="1"/>
      <c r="R197" s="1"/>
      <c r="S197" s="1"/>
      <c r="T197" s="1"/>
      <c r="U197" s="1"/>
      <c r="V197" s="1"/>
      <c r="W197" s="1"/>
      <c r="X197" s="1"/>
      <c r="Y197" s="1"/>
      <c r="Z197" s="1"/>
      <c r="AA197" s="1"/>
      <c r="AB197" s="1"/>
      <c r="AC197" s="1"/>
      <c r="AD197" s="1"/>
      <c r="AE197" s="1"/>
    </row>
    <row r="198" spans="1:31" ht="12.75" customHeight="1" x14ac:dyDescent="0.2">
      <c r="A198" s="1"/>
      <c r="B198" s="1" t="s">
        <v>584</v>
      </c>
      <c r="C198" s="1"/>
      <c r="D198" s="10" t="str">
        <f>VLOOKUP(F198,Format!G:H,2,FALSE)</f>
        <v>Immobilizer</v>
      </c>
      <c r="E198" s="10" t="str">
        <f>VLOOKUP(H198,Format!G:H,2,FALSE)</f>
        <v>LCM, Global</v>
      </c>
      <c r="F198" s="59" t="s">
        <v>234</v>
      </c>
      <c r="G198" s="11" t="s">
        <v>25</v>
      </c>
      <c r="H198" s="16" t="s">
        <v>337</v>
      </c>
      <c r="I198" s="1">
        <v>74</v>
      </c>
      <c r="J198" s="12" t="s">
        <v>18</v>
      </c>
      <c r="K198" s="12" t="s">
        <v>21</v>
      </c>
      <c r="L198" s="13" t="s">
        <v>579</v>
      </c>
      <c r="M198" s="1"/>
      <c r="N198" s="1"/>
      <c r="O198" s="1"/>
      <c r="P198" s="1"/>
      <c r="Q198" s="1"/>
      <c r="R198" s="1"/>
      <c r="S198" s="1"/>
      <c r="T198" s="1"/>
      <c r="U198" s="1"/>
      <c r="V198" s="1"/>
      <c r="W198" s="1"/>
      <c r="X198" s="1"/>
      <c r="Y198" s="1"/>
      <c r="Z198" s="1"/>
      <c r="AA198" s="1"/>
      <c r="AB198" s="1"/>
      <c r="AC198" s="1"/>
      <c r="AD198" s="1"/>
      <c r="AE198" s="1"/>
    </row>
    <row r="199" spans="1:31" ht="12.75" customHeight="1" x14ac:dyDescent="0.2">
      <c r="A199" s="1"/>
      <c r="B199" s="1" t="s">
        <v>585</v>
      </c>
      <c r="C199" s="1"/>
      <c r="D199" s="10" t="str">
        <f>VLOOKUP(F199,Format!G:H,2,FALSE)</f>
        <v>Immobilizer</v>
      </c>
      <c r="E199" s="10" t="str">
        <f>VLOOKUP(H199,Format!G:H,2,FALSE)</f>
        <v>LCM, Global</v>
      </c>
      <c r="F199" s="59" t="s">
        <v>234</v>
      </c>
      <c r="G199" s="11" t="s">
        <v>25</v>
      </c>
      <c r="H199" s="16" t="s">
        <v>337</v>
      </c>
      <c r="I199" s="1">
        <v>74</v>
      </c>
      <c r="J199" s="12" t="s">
        <v>25</v>
      </c>
      <c r="K199" s="12" t="s">
        <v>21</v>
      </c>
      <c r="L199" s="13" t="s">
        <v>586</v>
      </c>
      <c r="M199" s="1"/>
      <c r="N199" s="1"/>
      <c r="O199" s="1"/>
      <c r="P199" s="1"/>
      <c r="Q199" s="1"/>
      <c r="R199" s="1"/>
      <c r="S199" s="1"/>
      <c r="T199" s="1"/>
      <c r="U199" s="1"/>
      <c r="V199" s="1"/>
      <c r="W199" s="1"/>
      <c r="X199" s="1"/>
      <c r="Y199" s="1"/>
      <c r="Z199" s="1"/>
      <c r="AA199" s="1"/>
      <c r="AB199" s="1"/>
      <c r="AC199" s="1"/>
      <c r="AD199" s="1"/>
      <c r="AE199" s="1"/>
    </row>
    <row r="200" spans="1:31"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ustomHeight="1" x14ac:dyDescent="0.2">
      <c r="A201" s="1"/>
      <c r="B201" s="1" t="s">
        <v>587</v>
      </c>
      <c r="C201" s="1" t="s">
        <v>588</v>
      </c>
      <c r="D201" s="10" t="str">
        <f>VLOOKUP(F201,Format!G:H,2,FALSE)</f>
        <v>Immobilizer</v>
      </c>
      <c r="E201" s="10" t="str">
        <f>VLOOKUP(H201,Format!G:H,2,FALSE)</f>
        <v>IKE</v>
      </c>
      <c r="F201" s="15" t="s">
        <v>234</v>
      </c>
      <c r="G201" s="11" t="s">
        <v>13</v>
      </c>
      <c r="H201" s="16" t="s">
        <v>214</v>
      </c>
      <c r="I201" s="5" t="s">
        <v>179</v>
      </c>
      <c r="J201" s="13" t="s">
        <v>589</v>
      </c>
      <c r="K201" s="1"/>
      <c r="L201" s="1"/>
      <c r="M201" s="1"/>
      <c r="N201" s="1"/>
      <c r="O201" s="1"/>
      <c r="P201" s="1"/>
      <c r="Q201" s="5"/>
      <c r="R201" s="1"/>
      <c r="S201" s="1"/>
      <c r="T201" s="1"/>
      <c r="U201" s="1"/>
      <c r="V201" s="1"/>
      <c r="W201" s="1"/>
      <c r="X201" s="1"/>
      <c r="Y201" s="1"/>
      <c r="Z201" s="1"/>
      <c r="AA201" s="1"/>
      <c r="AB201" s="1"/>
      <c r="AC201" s="1"/>
      <c r="AD201" s="1"/>
      <c r="AE201" s="1"/>
    </row>
    <row r="202" spans="1:31"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ustomHeight="1" x14ac:dyDescent="0.2">
      <c r="A207" s="1"/>
      <c r="B207" s="1" t="s">
        <v>590</v>
      </c>
      <c r="C207" s="1" t="s">
        <v>591</v>
      </c>
      <c r="D207" s="10" t="str">
        <f>VLOOKUP(F207,Format!G:H,2,FALSE)</f>
        <v>NAV OR GT</v>
      </c>
      <c r="E207" s="10" t="str">
        <f>VLOOKUP(H207,Format!G:H,2,FALSE)</f>
        <v>IKE</v>
      </c>
      <c r="F207" s="15" t="s">
        <v>20</v>
      </c>
      <c r="G207" s="11" t="s">
        <v>25</v>
      </c>
      <c r="H207" s="16" t="s">
        <v>214</v>
      </c>
      <c r="I207" s="5" t="s">
        <v>128</v>
      </c>
      <c r="J207" s="5" t="s">
        <v>15</v>
      </c>
      <c r="K207" s="5" t="s">
        <v>15</v>
      </c>
      <c r="L207" s="5"/>
      <c r="M207" s="1"/>
      <c r="N207" s="1"/>
      <c r="O207" s="1"/>
      <c r="P207" s="1"/>
      <c r="Q207" s="5"/>
      <c r="R207" s="1"/>
      <c r="S207" s="1"/>
      <c r="T207" s="1"/>
      <c r="U207" s="1"/>
      <c r="V207" s="1"/>
      <c r="W207" s="1"/>
      <c r="X207" s="1"/>
      <c r="Y207" s="1"/>
      <c r="Z207" s="1"/>
      <c r="AA207" s="1"/>
      <c r="AB207" s="1"/>
      <c r="AC207" s="1"/>
      <c r="AD207" s="1"/>
      <c r="AE207" s="1"/>
    </row>
    <row r="208" spans="1:31"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5">
      <c r="A210" s="1"/>
      <c r="B210" s="6" t="s">
        <v>546</v>
      </c>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ustomHeight="1" x14ac:dyDescent="0.2">
      <c r="A211" s="1"/>
      <c r="B211" s="1" t="s">
        <v>592</v>
      </c>
      <c r="C211" s="1"/>
      <c r="D211" s="10" t="str">
        <f>VLOOKUP(F211,Format!G:H,2,FALSE)</f>
        <v>General news 1</v>
      </c>
      <c r="E211" s="10" t="str">
        <f>VLOOKUP(H211,Format!G:H,2,FALSE)</f>
        <v>LCM, Global</v>
      </c>
      <c r="F211" s="15" t="s">
        <v>21</v>
      </c>
      <c r="G211" s="11" t="s">
        <v>25</v>
      </c>
      <c r="H211" s="16" t="s">
        <v>337</v>
      </c>
      <c r="I211" s="1" t="s">
        <v>593</v>
      </c>
      <c r="J211" s="12" t="s">
        <v>21</v>
      </c>
      <c r="K211" s="12" t="s">
        <v>21</v>
      </c>
      <c r="L211" s="13" t="s">
        <v>594</v>
      </c>
      <c r="M211" s="1"/>
      <c r="N211" s="1"/>
      <c r="O211" s="1"/>
      <c r="P211" s="1"/>
      <c r="Q211" s="1"/>
      <c r="R211" s="1"/>
      <c r="S211" s="1"/>
      <c r="T211" s="1"/>
      <c r="U211" s="1"/>
      <c r="V211" s="1"/>
      <c r="W211" s="1"/>
      <c r="X211" s="1"/>
      <c r="Y211" s="1"/>
      <c r="Z211" s="1"/>
      <c r="AA211" s="1"/>
      <c r="AB211" s="1"/>
      <c r="AC211" s="1"/>
      <c r="AD211" s="1"/>
      <c r="AE211" s="1"/>
    </row>
    <row r="212" spans="1:31" ht="12.75" customHeight="1" x14ac:dyDescent="0.2">
      <c r="A212" s="1"/>
      <c r="B212" s="1" t="s">
        <v>595</v>
      </c>
      <c r="C212" s="1"/>
      <c r="D212" s="10" t="str">
        <f>VLOOKUP(F212,Format!G:H,2,FALSE)</f>
        <v>General news 1</v>
      </c>
      <c r="E212" s="10" t="str">
        <f>VLOOKUP(H212,Format!G:H,2,FALSE)</f>
        <v>LCM, Global</v>
      </c>
      <c r="F212" s="15" t="s">
        <v>21</v>
      </c>
      <c r="G212" s="11" t="s">
        <v>25</v>
      </c>
      <c r="H212" s="16" t="s">
        <v>337</v>
      </c>
      <c r="I212" s="1" t="s">
        <v>596</v>
      </c>
      <c r="J212" s="12">
        <v>53</v>
      </c>
      <c r="K212" s="12" t="s">
        <v>597</v>
      </c>
      <c r="L212" s="13" t="s">
        <v>337</v>
      </c>
      <c r="M212" s="1"/>
      <c r="N212" s="1"/>
      <c r="O212" s="1"/>
      <c r="P212" s="1"/>
      <c r="Q212" s="1"/>
      <c r="R212" s="1"/>
      <c r="S212" s="1"/>
      <c r="T212" s="1"/>
      <c r="U212" s="1"/>
      <c r="V212" s="1"/>
      <c r="W212" s="1"/>
      <c r="X212" s="1"/>
      <c r="Y212" s="1"/>
      <c r="Z212" s="1"/>
      <c r="AA212" s="1"/>
      <c r="AB212" s="1"/>
      <c r="AC212" s="1"/>
      <c r="AD212" s="1"/>
      <c r="AE212" s="1"/>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6"/>
  <sheetViews>
    <sheetView workbookViewId="0"/>
  </sheetViews>
  <sheetFormatPr defaultColWidth="17.28515625" defaultRowHeight="15" customHeight="1" x14ac:dyDescent="0.2"/>
  <cols>
    <col min="1" max="5" width="6.7109375" customWidth="1"/>
    <col min="6" max="6" width="8" customWidth="1"/>
    <col min="7" max="7" width="9.140625" customWidth="1"/>
    <col min="8" max="8" width="19.42578125" customWidth="1"/>
    <col min="9" max="12" width="8" customWidth="1"/>
    <col min="13" max="13" width="38.140625" customWidth="1"/>
    <col min="14" max="14" width="40.28515625" customWidth="1"/>
    <col min="15" max="15" width="26" customWidth="1"/>
    <col min="16" max="16" width="21.85546875" customWidth="1"/>
  </cols>
  <sheetData>
    <row r="1" spans="1:16" ht="27.75" customHeight="1" x14ac:dyDescent="0.2">
      <c r="A1" s="63" t="s">
        <v>598</v>
      </c>
      <c r="B1" s="64" t="s">
        <v>599</v>
      </c>
      <c r="C1" s="65" t="s">
        <v>600</v>
      </c>
      <c r="D1" s="66" t="s">
        <v>601</v>
      </c>
      <c r="E1" s="67" t="s">
        <v>602</v>
      </c>
      <c r="G1" s="5" t="s">
        <v>603</v>
      </c>
      <c r="H1" s="1" t="s">
        <v>604</v>
      </c>
      <c r="M1" s="1"/>
      <c r="N1" s="1"/>
      <c r="O1" s="1"/>
      <c r="P1" s="1"/>
    </row>
    <row r="2" spans="1:16" ht="12.75" customHeight="1" x14ac:dyDescent="0.2">
      <c r="A2" s="1"/>
      <c r="B2" s="1"/>
      <c r="C2" s="62"/>
      <c r="D2" s="62"/>
      <c r="E2" s="62"/>
      <c r="G2" s="5" t="s">
        <v>21</v>
      </c>
      <c r="H2" s="1" t="s">
        <v>605</v>
      </c>
      <c r="I2" s="1" t="s">
        <v>606</v>
      </c>
      <c r="M2" s="1"/>
      <c r="N2" s="1"/>
      <c r="O2" s="1"/>
      <c r="P2" s="1"/>
    </row>
    <row r="3" spans="1:16" ht="12.75" customHeight="1" x14ac:dyDescent="0.2">
      <c r="A3" s="1"/>
      <c r="B3" s="1"/>
      <c r="C3" s="1" t="s">
        <v>607</v>
      </c>
      <c r="D3" s="1"/>
      <c r="E3" s="1"/>
      <c r="G3" s="68">
        <f>0</f>
        <v>0</v>
      </c>
      <c r="H3" s="1" t="s">
        <v>605</v>
      </c>
      <c r="M3" s="1"/>
      <c r="N3" s="1"/>
      <c r="O3" s="1"/>
      <c r="P3" s="1"/>
    </row>
    <row r="4" spans="1:16" ht="12.75" customHeight="1" x14ac:dyDescent="0.2">
      <c r="A4" s="1"/>
      <c r="B4" s="1"/>
      <c r="C4" s="1"/>
      <c r="D4" s="1"/>
      <c r="E4" s="1"/>
      <c r="G4" s="68" t="s">
        <v>15</v>
      </c>
      <c r="H4" s="1" t="s">
        <v>608</v>
      </c>
      <c r="M4" s="1"/>
      <c r="N4" s="1"/>
      <c r="O4" s="1"/>
      <c r="P4" s="1"/>
    </row>
    <row r="5" spans="1:16" ht="12.75" customHeight="1" x14ac:dyDescent="0.2">
      <c r="A5" s="1"/>
      <c r="B5" s="1"/>
      <c r="C5" s="1"/>
      <c r="D5" s="1"/>
      <c r="E5" s="1"/>
      <c r="G5" s="68" t="s">
        <v>35</v>
      </c>
      <c r="H5" s="1" t="s">
        <v>609</v>
      </c>
      <c r="M5" s="1"/>
      <c r="N5" s="1"/>
      <c r="O5" s="1"/>
      <c r="P5" s="1"/>
    </row>
    <row r="6" spans="1:16" ht="12.75" customHeight="1" x14ac:dyDescent="0.2">
      <c r="A6" s="1"/>
      <c r="B6" s="1"/>
      <c r="C6" s="1"/>
      <c r="D6" s="1"/>
      <c r="E6" s="1"/>
      <c r="G6" s="68" t="s">
        <v>63</v>
      </c>
      <c r="H6" s="1" t="s">
        <v>610</v>
      </c>
      <c r="M6" s="1"/>
      <c r="N6" s="1"/>
      <c r="O6" s="1"/>
      <c r="P6" s="1"/>
    </row>
    <row r="7" spans="1:16" ht="12.75" customHeight="1" x14ac:dyDescent="0.2">
      <c r="A7" s="1"/>
      <c r="B7" s="1"/>
      <c r="C7" s="1"/>
      <c r="D7" s="1"/>
      <c r="E7" s="1"/>
      <c r="G7" s="68" t="s">
        <v>71</v>
      </c>
      <c r="H7" s="1" t="s">
        <v>611</v>
      </c>
      <c r="M7" s="1"/>
      <c r="N7" s="1"/>
      <c r="O7" s="1"/>
      <c r="P7" s="1"/>
    </row>
    <row r="8" spans="1:16" ht="12.75" customHeight="1" x14ac:dyDescent="0.2">
      <c r="A8" s="1"/>
      <c r="B8" s="1"/>
      <c r="C8" s="1"/>
      <c r="D8" s="1"/>
      <c r="E8" s="1"/>
      <c r="G8" s="68" t="s">
        <v>170</v>
      </c>
      <c r="H8" s="1" t="s">
        <v>612</v>
      </c>
      <c r="M8" s="1"/>
      <c r="N8" s="1"/>
      <c r="O8" s="1"/>
      <c r="P8" s="1"/>
    </row>
    <row r="9" spans="1:16" ht="12.75" customHeight="1" x14ac:dyDescent="0.2">
      <c r="A9" s="1"/>
      <c r="B9" s="1"/>
      <c r="C9" s="1"/>
      <c r="D9" s="1"/>
      <c r="E9" s="1"/>
      <c r="G9" s="5" t="s">
        <v>14</v>
      </c>
      <c r="H9" s="1" t="s">
        <v>613</v>
      </c>
      <c r="I9" s="1" t="s">
        <v>614</v>
      </c>
      <c r="M9" s="1"/>
      <c r="N9" s="1"/>
      <c r="O9" s="1"/>
      <c r="P9" s="1"/>
    </row>
    <row r="10" spans="1:16" ht="12.75" customHeight="1" x14ac:dyDescent="0.2">
      <c r="A10" s="1"/>
      <c r="B10" s="1"/>
      <c r="C10" s="1"/>
      <c r="D10" s="1"/>
      <c r="E10" s="1"/>
      <c r="G10" s="68" t="s">
        <v>615</v>
      </c>
      <c r="H10" s="1" t="s">
        <v>616</v>
      </c>
      <c r="M10" s="1"/>
      <c r="N10" s="1"/>
      <c r="O10" s="1"/>
      <c r="P10" s="1"/>
    </row>
    <row r="11" spans="1:16" ht="12.75" customHeight="1" x14ac:dyDescent="0.2">
      <c r="A11" s="1"/>
      <c r="B11" s="1"/>
      <c r="C11" s="1"/>
      <c r="D11" s="1"/>
      <c r="E11" s="1"/>
      <c r="G11" s="68" t="s">
        <v>617</v>
      </c>
      <c r="H11" s="1" t="s">
        <v>618</v>
      </c>
      <c r="M11" s="1"/>
      <c r="N11" s="1"/>
      <c r="O11" s="1"/>
      <c r="P11" s="1"/>
    </row>
    <row r="12" spans="1:16" ht="12.75" customHeight="1" x14ac:dyDescent="0.2">
      <c r="A12" s="1"/>
      <c r="B12" s="1"/>
      <c r="C12" s="1"/>
      <c r="D12" s="1"/>
      <c r="E12" s="1"/>
      <c r="G12" s="68" t="s">
        <v>130</v>
      </c>
      <c r="H12" s="1" t="s">
        <v>619</v>
      </c>
      <c r="M12" s="1"/>
      <c r="N12" s="1"/>
      <c r="O12" s="1"/>
      <c r="P12" s="1"/>
    </row>
    <row r="13" spans="1:16" ht="12.75" customHeight="1" x14ac:dyDescent="0.2">
      <c r="A13" s="1"/>
      <c r="B13" s="1"/>
      <c r="C13" s="1"/>
      <c r="D13" s="1"/>
      <c r="E13" s="1"/>
      <c r="G13" s="5" t="s">
        <v>130</v>
      </c>
      <c r="H13" s="1" t="s">
        <v>620</v>
      </c>
      <c r="M13" s="1"/>
      <c r="N13" s="1"/>
      <c r="O13" s="1"/>
      <c r="P13" s="1"/>
    </row>
    <row r="14" spans="1:16" ht="12.75" customHeight="1" x14ac:dyDescent="0.2">
      <c r="A14" s="1"/>
      <c r="B14" s="1"/>
      <c r="C14" s="1"/>
      <c r="D14" s="1"/>
      <c r="E14" s="1"/>
      <c r="G14" s="68" t="s">
        <v>166</v>
      </c>
      <c r="H14" s="1" t="s">
        <v>621</v>
      </c>
      <c r="M14" s="1"/>
      <c r="N14" s="1"/>
      <c r="O14" s="1"/>
      <c r="P14" s="1"/>
    </row>
    <row r="15" spans="1:16" ht="12.75" customHeight="1" x14ac:dyDescent="0.2">
      <c r="A15" s="1"/>
      <c r="B15" s="1"/>
      <c r="C15" s="1"/>
      <c r="D15" s="1"/>
      <c r="E15" s="1"/>
      <c r="G15" s="68" t="s">
        <v>229</v>
      </c>
      <c r="H15" s="1" t="s">
        <v>622</v>
      </c>
      <c r="M15" s="1"/>
      <c r="N15" s="1"/>
      <c r="O15" s="1"/>
      <c r="P15" s="1"/>
    </row>
    <row r="16" spans="1:16" ht="12.75" customHeight="1" x14ac:dyDescent="0.2">
      <c r="A16" s="1"/>
      <c r="B16" s="1"/>
      <c r="C16" s="1"/>
      <c r="D16" s="1"/>
      <c r="E16" s="1"/>
      <c r="G16" s="5" t="s">
        <v>229</v>
      </c>
      <c r="H16" s="1" t="s">
        <v>623</v>
      </c>
      <c r="M16" s="1"/>
      <c r="N16" s="1"/>
      <c r="O16" s="1"/>
      <c r="P16" s="1"/>
    </row>
    <row r="17" spans="1:16" ht="12.75" customHeight="1" x14ac:dyDescent="0.2">
      <c r="A17" s="1"/>
      <c r="B17" s="1"/>
      <c r="C17" s="1"/>
      <c r="D17" s="1"/>
      <c r="E17" s="1"/>
      <c r="G17" s="5" t="s">
        <v>234</v>
      </c>
      <c r="H17" s="1" t="s">
        <v>624</v>
      </c>
      <c r="I17" s="1" t="s">
        <v>625</v>
      </c>
      <c r="M17" s="1"/>
      <c r="N17" s="1"/>
      <c r="O17" s="1"/>
      <c r="P17" s="1"/>
    </row>
    <row r="18" spans="1:16" ht="12.75" customHeight="1" x14ac:dyDescent="0.2">
      <c r="A18" s="1"/>
      <c r="B18" s="1"/>
      <c r="C18" s="1"/>
      <c r="D18" s="1"/>
      <c r="E18" s="1"/>
      <c r="G18" s="68" t="s">
        <v>73</v>
      </c>
      <c r="H18" s="1" t="s">
        <v>626</v>
      </c>
      <c r="M18" s="1"/>
      <c r="N18" s="1"/>
      <c r="O18" s="1"/>
      <c r="P18" s="1"/>
    </row>
    <row r="19" spans="1:16" ht="12.75" customHeight="1" x14ac:dyDescent="0.2">
      <c r="A19" s="1"/>
      <c r="B19" s="1"/>
      <c r="C19" s="1"/>
      <c r="D19" s="1"/>
      <c r="E19" s="1"/>
      <c r="G19" s="5" t="s">
        <v>326</v>
      </c>
      <c r="H19" s="1" t="s">
        <v>627</v>
      </c>
      <c r="M19" s="1"/>
      <c r="N19" s="1"/>
      <c r="O19" s="1"/>
      <c r="P19" s="1"/>
    </row>
    <row r="20" spans="1:16" ht="12.75" customHeight="1" x14ac:dyDescent="0.2">
      <c r="A20" s="1"/>
      <c r="B20" s="1"/>
      <c r="C20" s="1"/>
      <c r="D20" s="1"/>
      <c r="E20" s="1"/>
      <c r="G20" s="5" t="s">
        <v>196</v>
      </c>
      <c r="H20" s="1" t="s">
        <v>628</v>
      </c>
      <c r="M20" s="1"/>
      <c r="N20" s="1"/>
      <c r="O20" s="1"/>
      <c r="P20" s="1"/>
    </row>
    <row r="21" spans="1:16" ht="12.75" customHeight="1" x14ac:dyDescent="0.2">
      <c r="A21" s="1"/>
      <c r="B21" s="1"/>
      <c r="C21" s="1"/>
      <c r="D21" s="1"/>
      <c r="E21" s="1"/>
      <c r="G21" s="5" t="s">
        <v>629</v>
      </c>
      <c r="H21" s="1" t="s">
        <v>630</v>
      </c>
      <c r="M21" s="1"/>
      <c r="N21" s="1"/>
      <c r="O21" s="1"/>
      <c r="P21" s="1"/>
    </row>
    <row r="22" spans="1:16" ht="12.75" customHeight="1" x14ac:dyDescent="0.2">
      <c r="A22" s="1"/>
      <c r="B22" s="1"/>
      <c r="C22" s="1"/>
      <c r="D22" s="1"/>
      <c r="E22" s="1"/>
      <c r="G22" s="5" t="s">
        <v>481</v>
      </c>
      <c r="H22" s="1" t="s">
        <v>631</v>
      </c>
      <c r="M22" s="1"/>
      <c r="N22" s="1"/>
      <c r="O22" s="1"/>
      <c r="P22" s="1"/>
    </row>
    <row r="23" spans="1:16" ht="12.75" customHeight="1" x14ac:dyDescent="0.2">
      <c r="A23" s="1"/>
      <c r="B23" s="1"/>
      <c r="C23" s="1"/>
      <c r="D23" s="1"/>
      <c r="E23" s="1"/>
      <c r="G23" s="5" t="s">
        <v>632</v>
      </c>
      <c r="H23" s="1" t="s">
        <v>633</v>
      </c>
      <c r="M23" s="1"/>
      <c r="N23" s="1"/>
      <c r="O23" s="1"/>
      <c r="P23" s="1"/>
    </row>
    <row r="24" spans="1:16" ht="12.75" customHeight="1" x14ac:dyDescent="0.2">
      <c r="A24" s="1"/>
      <c r="B24" s="1"/>
      <c r="C24" s="1"/>
      <c r="D24" s="1"/>
      <c r="E24" s="1"/>
      <c r="G24" s="5" t="s">
        <v>12</v>
      </c>
      <c r="H24" s="1" t="s">
        <v>377</v>
      </c>
      <c r="M24" s="1"/>
      <c r="N24" s="1"/>
      <c r="O24" s="1"/>
      <c r="P24" s="1"/>
    </row>
    <row r="25" spans="1:16" ht="12.75" customHeight="1" x14ac:dyDescent="0.2">
      <c r="A25" s="1"/>
      <c r="B25" s="1"/>
      <c r="C25" s="1"/>
      <c r="D25" s="1"/>
      <c r="E25" s="1"/>
      <c r="G25" s="68">
        <f>68</f>
        <v>68</v>
      </c>
      <c r="H25" s="1" t="s">
        <v>377</v>
      </c>
      <c r="M25" s="1"/>
      <c r="N25" s="1"/>
      <c r="O25" s="1"/>
      <c r="P25" s="1"/>
    </row>
    <row r="26" spans="1:16" ht="12.75" customHeight="1" x14ac:dyDescent="0.2">
      <c r="A26" s="1"/>
      <c r="B26" s="1"/>
      <c r="C26" s="1"/>
      <c r="D26" s="1"/>
      <c r="E26" s="1"/>
      <c r="G26" s="69" t="s">
        <v>325</v>
      </c>
      <c r="H26" s="70" t="s">
        <v>634</v>
      </c>
      <c r="M26" s="1"/>
      <c r="N26" s="1"/>
      <c r="O26" s="1"/>
      <c r="P26" s="1"/>
    </row>
    <row r="27" spans="1:16" ht="12.75" customHeight="1" x14ac:dyDescent="0.2">
      <c r="A27" s="1"/>
      <c r="B27" s="1"/>
      <c r="C27" s="1"/>
      <c r="D27" s="1"/>
      <c r="E27" s="1"/>
      <c r="G27" s="5" t="s">
        <v>131</v>
      </c>
      <c r="H27" s="1" t="s">
        <v>635</v>
      </c>
      <c r="M27" s="1"/>
      <c r="N27" s="1"/>
      <c r="O27" s="1"/>
      <c r="P27" s="1"/>
    </row>
    <row r="28" spans="1:16" ht="12.75" customHeight="1" x14ac:dyDescent="0.2">
      <c r="A28" s="1"/>
      <c r="B28" s="1"/>
      <c r="C28" s="1"/>
      <c r="D28" s="1"/>
      <c r="E28" s="1"/>
      <c r="G28" s="5" t="s">
        <v>636</v>
      </c>
      <c r="H28" s="1" t="s">
        <v>637</v>
      </c>
      <c r="M28" s="1"/>
      <c r="N28" s="1"/>
      <c r="O28" s="1"/>
      <c r="P28" s="1"/>
    </row>
    <row r="29" spans="1:16" ht="12.75" customHeight="1" x14ac:dyDescent="0.2">
      <c r="A29" s="1"/>
      <c r="B29" s="1"/>
      <c r="C29" s="1"/>
      <c r="D29" s="1"/>
      <c r="E29" s="1"/>
      <c r="G29" s="5" t="s">
        <v>328</v>
      </c>
      <c r="H29" s="1" t="s">
        <v>638</v>
      </c>
      <c r="M29" s="1"/>
      <c r="N29" s="1"/>
      <c r="O29" s="1"/>
      <c r="P29" s="1"/>
    </row>
    <row r="30" spans="1:16" ht="12.75" customHeight="1" x14ac:dyDescent="0.2">
      <c r="A30" s="1"/>
      <c r="B30" s="1"/>
      <c r="C30" s="1"/>
      <c r="D30" s="1"/>
      <c r="E30" s="1"/>
      <c r="G30" s="5" t="s">
        <v>214</v>
      </c>
      <c r="H30" s="1" t="s">
        <v>452</v>
      </c>
      <c r="M30" s="1"/>
      <c r="N30" s="1"/>
      <c r="O30" s="1"/>
      <c r="P30" s="1"/>
    </row>
    <row r="31" spans="1:16" ht="12.75" customHeight="1" x14ac:dyDescent="0.2">
      <c r="A31" s="1"/>
      <c r="B31" s="1"/>
      <c r="C31" s="1"/>
      <c r="D31" s="1"/>
      <c r="E31" s="1"/>
      <c r="G31" s="68">
        <v>80</v>
      </c>
      <c r="H31" s="1" t="s">
        <v>452</v>
      </c>
      <c r="M31" s="1"/>
      <c r="N31" s="1"/>
      <c r="O31" s="1"/>
      <c r="P31" s="1"/>
    </row>
    <row r="32" spans="1:16" ht="12.75" customHeight="1" x14ac:dyDescent="0.2">
      <c r="A32" s="1"/>
      <c r="B32" s="1"/>
      <c r="C32" s="1"/>
      <c r="D32" s="1"/>
      <c r="E32" s="1"/>
      <c r="G32" s="68" t="s">
        <v>20</v>
      </c>
      <c r="H32" s="1" t="s">
        <v>639</v>
      </c>
      <c r="M32" s="1"/>
      <c r="N32" s="1"/>
      <c r="O32" s="1"/>
      <c r="P32" s="1"/>
    </row>
    <row r="33" spans="1:16" ht="12.75" customHeight="1" x14ac:dyDescent="0.2">
      <c r="A33" s="1"/>
      <c r="B33" s="1"/>
      <c r="C33" s="1"/>
      <c r="D33" s="1"/>
      <c r="E33" s="1"/>
      <c r="G33" s="5" t="s">
        <v>20</v>
      </c>
      <c r="H33" s="1" t="s">
        <v>640</v>
      </c>
      <c r="M33" s="1"/>
      <c r="N33" s="1"/>
      <c r="O33" s="1"/>
      <c r="P33" s="1"/>
    </row>
    <row r="34" spans="1:16" ht="12.75" customHeight="1" x14ac:dyDescent="0.2">
      <c r="A34" s="1"/>
      <c r="B34" s="1"/>
      <c r="C34" s="1"/>
      <c r="D34" s="1"/>
      <c r="E34" s="1"/>
      <c r="G34" s="5" t="s">
        <v>103</v>
      </c>
      <c r="H34" s="1" t="s">
        <v>641</v>
      </c>
      <c r="M34" s="1"/>
      <c r="N34" s="1"/>
      <c r="O34" s="1"/>
      <c r="P34" s="1"/>
    </row>
    <row r="35" spans="1:16" ht="12.75" customHeight="1" x14ac:dyDescent="0.2">
      <c r="A35" s="1"/>
      <c r="B35" s="1"/>
      <c r="C35" s="1"/>
      <c r="D35" s="1"/>
      <c r="E35" s="1"/>
      <c r="G35" s="5" t="s">
        <v>470</v>
      </c>
      <c r="H35" s="1" t="s">
        <v>642</v>
      </c>
      <c r="M35" s="1"/>
      <c r="N35" s="1"/>
      <c r="O35" s="1"/>
      <c r="P35" s="1"/>
    </row>
    <row r="36" spans="1:16" ht="12.75" customHeight="1" x14ac:dyDescent="0.2">
      <c r="A36" s="1"/>
      <c r="B36" s="1"/>
      <c r="C36" s="1"/>
      <c r="D36" s="1"/>
      <c r="E36" s="1"/>
      <c r="G36" s="5" t="s">
        <v>470</v>
      </c>
      <c r="H36" s="1" t="s">
        <v>642</v>
      </c>
      <c r="M36" s="1"/>
      <c r="N36" s="1"/>
      <c r="O36" s="1"/>
      <c r="P36" s="1"/>
    </row>
    <row r="37" spans="1:16" ht="12.75" customHeight="1" x14ac:dyDescent="0.2">
      <c r="A37" s="1"/>
      <c r="B37" s="1"/>
      <c r="C37" s="1"/>
      <c r="D37" s="1"/>
      <c r="E37" s="1"/>
      <c r="G37" s="68" t="s">
        <v>643</v>
      </c>
      <c r="H37" s="1" t="s">
        <v>644</v>
      </c>
      <c r="M37" s="1"/>
      <c r="N37" s="1"/>
      <c r="O37" s="1"/>
      <c r="P37" s="1"/>
    </row>
    <row r="38" spans="1:16" ht="12.75" customHeight="1" x14ac:dyDescent="0.2">
      <c r="A38" s="1"/>
      <c r="B38" s="1"/>
      <c r="C38" s="1"/>
      <c r="D38" s="1"/>
      <c r="E38" s="1"/>
      <c r="G38" s="5" t="s">
        <v>643</v>
      </c>
      <c r="H38" s="1" t="s">
        <v>644</v>
      </c>
      <c r="M38" s="1"/>
      <c r="N38" s="1"/>
      <c r="O38" s="1"/>
      <c r="P38" s="1"/>
    </row>
    <row r="39" spans="1:16" ht="12.75" customHeight="1" x14ac:dyDescent="0.2">
      <c r="A39" s="1"/>
      <c r="B39" s="1"/>
      <c r="C39" s="1"/>
      <c r="D39" s="1"/>
      <c r="E39" s="1"/>
      <c r="G39" s="5" t="s">
        <v>260</v>
      </c>
      <c r="H39" s="1" t="s">
        <v>645</v>
      </c>
      <c r="M39" s="1"/>
      <c r="N39" s="1"/>
      <c r="O39" s="1"/>
      <c r="P39" s="1"/>
    </row>
    <row r="40" spans="1:16" ht="12.75" customHeight="1" x14ac:dyDescent="0.2">
      <c r="A40" s="1"/>
      <c r="B40" s="1"/>
      <c r="C40" s="1"/>
      <c r="D40" s="1"/>
      <c r="E40" s="1"/>
      <c r="G40" s="5" t="s">
        <v>260</v>
      </c>
      <c r="H40" s="1" t="s">
        <v>646</v>
      </c>
      <c r="M40" s="1"/>
      <c r="N40" s="1"/>
      <c r="O40" s="1"/>
      <c r="P40" s="1"/>
    </row>
    <row r="41" spans="1:16" ht="12.75" customHeight="1" x14ac:dyDescent="0.2">
      <c r="A41" s="1"/>
      <c r="B41" s="1"/>
      <c r="C41" s="1"/>
      <c r="D41" s="1"/>
      <c r="E41" s="1"/>
      <c r="G41" s="5" t="s">
        <v>647</v>
      </c>
      <c r="H41" s="1" t="s">
        <v>648</v>
      </c>
      <c r="M41" s="1"/>
      <c r="N41" s="1"/>
      <c r="O41" s="1"/>
      <c r="P41" s="1"/>
    </row>
    <row r="42" spans="1:16" ht="12.75" customHeight="1" x14ac:dyDescent="0.2">
      <c r="A42" s="1"/>
      <c r="B42" s="1"/>
      <c r="C42" s="1"/>
      <c r="D42" s="1"/>
      <c r="E42" s="1"/>
      <c r="G42" s="5" t="s">
        <v>649</v>
      </c>
      <c r="H42" s="1" t="s">
        <v>650</v>
      </c>
      <c r="M42" s="1"/>
      <c r="N42" s="1"/>
      <c r="O42" s="1"/>
      <c r="P42" s="1"/>
    </row>
    <row r="43" spans="1:16" ht="12.75" customHeight="1" x14ac:dyDescent="0.2">
      <c r="A43" s="1"/>
      <c r="B43" s="1"/>
      <c r="C43" s="1"/>
      <c r="D43" s="1"/>
      <c r="E43" s="1"/>
      <c r="G43" s="5" t="s">
        <v>381</v>
      </c>
      <c r="H43" s="1" t="s">
        <v>651</v>
      </c>
      <c r="M43" s="1"/>
      <c r="N43" s="1"/>
      <c r="O43" s="1"/>
      <c r="P43" s="1"/>
    </row>
    <row r="44" spans="1:16" ht="12.75" customHeight="1" x14ac:dyDescent="0.2">
      <c r="A44" s="1"/>
      <c r="B44" s="1"/>
      <c r="C44" s="1"/>
      <c r="D44" s="1"/>
      <c r="E44" s="1"/>
      <c r="G44" s="5" t="s">
        <v>652</v>
      </c>
      <c r="H44" s="1" t="s">
        <v>653</v>
      </c>
      <c r="M44" s="1"/>
      <c r="N44" s="1"/>
      <c r="O44" s="1"/>
      <c r="P44" s="1"/>
    </row>
    <row r="45" spans="1:16" ht="12.75" customHeight="1" x14ac:dyDescent="0.2">
      <c r="A45" s="1"/>
      <c r="B45" s="1"/>
      <c r="C45" s="1"/>
      <c r="D45" s="1"/>
      <c r="E45" s="1"/>
      <c r="G45" s="5" t="s">
        <v>654</v>
      </c>
      <c r="H45" s="1" t="s">
        <v>655</v>
      </c>
      <c r="M45" s="1"/>
      <c r="N45" s="1"/>
      <c r="O45" s="1"/>
      <c r="P45" s="1"/>
    </row>
    <row r="46" spans="1:16" ht="12.75" customHeight="1" x14ac:dyDescent="0.2">
      <c r="A46" s="1"/>
      <c r="B46" s="1"/>
      <c r="C46" s="1"/>
      <c r="D46" s="1"/>
      <c r="E46" s="1"/>
      <c r="G46" s="5" t="s">
        <v>22</v>
      </c>
      <c r="H46" s="1" t="s">
        <v>656</v>
      </c>
      <c r="M46" s="1"/>
      <c r="N46" s="1"/>
      <c r="O46" s="1"/>
      <c r="P46" s="1"/>
    </row>
    <row r="47" spans="1:16" ht="12.75" customHeight="1" x14ac:dyDescent="0.2">
      <c r="A47" s="1"/>
      <c r="B47" s="1"/>
      <c r="C47" s="1"/>
      <c r="D47" s="1"/>
      <c r="E47" s="1"/>
      <c r="G47" s="5" t="s">
        <v>22</v>
      </c>
      <c r="H47" s="1" t="s">
        <v>657</v>
      </c>
      <c r="M47" s="1"/>
      <c r="N47" s="1"/>
      <c r="O47" s="1"/>
      <c r="P47" s="1"/>
    </row>
    <row r="48" spans="1:16" ht="12.75" customHeight="1" x14ac:dyDescent="0.2">
      <c r="A48" s="1"/>
      <c r="B48" s="1"/>
      <c r="C48" s="1"/>
      <c r="D48" s="1"/>
      <c r="E48" s="1"/>
      <c r="G48" s="5" t="s">
        <v>385</v>
      </c>
      <c r="H48" s="1" t="s">
        <v>658</v>
      </c>
      <c r="M48" s="1"/>
      <c r="N48" s="1"/>
      <c r="O48" s="1"/>
      <c r="P48" s="1"/>
    </row>
    <row r="49" spans="1:16" ht="12.75" customHeight="1" x14ac:dyDescent="0.2">
      <c r="A49" s="1"/>
      <c r="B49" s="1"/>
      <c r="C49" s="1"/>
      <c r="D49" s="1"/>
      <c r="E49" s="1"/>
      <c r="G49" s="5" t="s">
        <v>659</v>
      </c>
      <c r="H49" s="1" t="s">
        <v>660</v>
      </c>
      <c r="M49" s="1"/>
      <c r="N49" s="1"/>
      <c r="O49" s="1"/>
      <c r="P49" s="1"/>
    </row>
    <row r="50" spans="1:16" ht="12.75" customHeight="1" x14ac:dyDescent="0.2">
      <c r="A50" s="1"/>
      <c r="B50" s="1"/>
      <c r="C50" s="1"/>
      <c r="D50" s="1"/>
      <c r="E50" s="1"/>
      <c r="G50" s="5" t="s">
        <v>661</v>
      </c>
      <c r="H50" s="1" t="s">
        <v>662</v>
      </c>
      <c r="M50" s="1"/>
      <c r="N50" s="1"/>
      <c r="O50" s="1"/>
      <c r="P50" s="1"/>
    </row>
    <row r="51" spans="1:16" ht="12.75" customHeight="1" x14ac:dyDescent="0.2">
      <c r="A51" s="1"/>
      <c r="B51" s="1"/>
      <c r="C51" s="1"/>
      <c r="D51" s="1"/>
      <c r="E51" s="1"/>
      <c r="G51" s="5" t="s">
        <v>661</v>
      </c>
      <c r="H51" s="1" t="s">
        <v>663</v>
      </c>
      <c r="M51" s="1"/>
      <c r="N51" s="1"/>
      <c r="O51" s="1"/>
      <c r="P51" s="1"/>
    </row>
    <row r="52" spans="1:16" ht="12.75" customHeight="1" x14ac:dyDescent="0.2">
      <c r="A52" s="1"/>
      <c r="B52" s="1"/>
      <c r="C52" s="1"/>
      <c r="D52" s="1"/>
      <c r="E52" s="1"/>
      <c r="G52" s="71" t="s">
        <v>337</v>
      </c>
      <c r="H52" s="1" t="s">
        <v>664</v>
      </c>
      <c r="M52" s="1"/>
      <c r="N52" s="1"/>
      <c r="O52" s="1"/>
      <c r="P52" s="1"/>
    </row>
    <row r="53" spans="1:16" ht="12.75" customHeight="1" x14ac:dyDescent="0.2">
      <c r="A53" s="1"/>
      <c r="B53" s="1"/>
      <c r="C53" s="1"/>
      <c r="D53" s="1"/>
      <c r="E53" s="1"/>
      <c r="G53" s="5" t="s">
        <v>337</v>
      </c>
      <c r="H53" s="1" t="s">
        <v>665</v>
      </c>
      <c r="M53" s="1"/>
      <c r="N53" s="1"/>
      <c r="O53" s="1"/>
      <c r="P53" s="1"/>
    </row>
    <row r="54" spans="1:16" ht="12.75" customHeight="1" x14ac:dyDescent="0.2">
      <c r="A54" s="1"/>
      <c r="B54" s="1"/>
      <c r="C54" s="1"/>
      <c r="D54" s="1"/>
      <c r="E54" s="1"/>
      <c r="G54" s="5" t="s">
        <v>666</v>
      </c>
      <c r="H54" s="1" t="s">
        <v>667</v>
      </c>
      <c r="M54" s="1"/>
      <c r="N54" s="1"/>
      <c r="O54" s="1"/>
      <c r="P54" s="1"/>
    </row>
    <row r="55" spans="1:16" ht="12.75" customHeight="1" x14ac:dyDescent="0.2">
      <c r="A55" s="1"/>
      <c r="B55" s="1"/>
      <c r="C55" s="1"/>
      <c r="D55" s="1"/>
      <c r="E55" s="1"/>
      <c r="G55" s="5" t="s">
        <v>210</v>
      </c>
      <c r="H55" s="1" t="s">
        <v>668</v>
      </c>
      <c r="M55" s="1"/>
      <c r="N55" s="1"/>
      <c r="O55" s="1"/>
      <c r="P55" s="1"/>
    </row>
    <row r="56" spans="1:16" ht="12.75" customHeight="1" x14ac:dyDescent="0.2">
      <c r="A56" s="1"/>
      <c r="B56" s="1"/>
      <c r="C56" s="1"/>
      <c r="D56" s="1"/>
      <c r="E56" s="1"/>
      <c r="G56" s="5" t="s">
        <v>469</v>
      </c>
      <c r="H56" s="1" t="s">
        <v>669</v>
      </c>
      <c r="M56" s="1"/>
      <c r="N56" s="1"/>
      <c r="O56" s="1"/>
      <c r="P56" s="1"/>
    </row>
    <row r="57" spans="1:16" ht="12.75" customHeight="1" x14ac:dyDescent="0.2">
      <c r="A57" s="1"/>
      <c r="B57" s="1"/>
      <c r="C57" s="1"/>
      <c r="D57" s="1"/>
      <c r="E57" s="1"/>
      <c r="G57" s="5" t="s">
        <v>670</v>
      </c>
      <c r="H57" s="1" t="s">
        <v>645</v>
      </c>
      <c r="M57" s="1"/>
      <c r="N57" s="1"/>
      <c r="O57" s="1"/>
      <c r="P57" s="1"/>
    </row>
    <row r="58" spans="1:16" ht="12.75" customHeight="1" x14ac:dyDescent="0.2">
      <c r="A58" s="1"/>
      <c r="B58" s="1"/>
      <c r="C58" s="1"/>
      <c r="D58" s="1"/>
      <c r="E58" s="1"/>
      <c r="G58" s="5" t="s">
        <v>671</v>
      </c>
      <c r="H58" s="1" t="s">
        <v>672</v>
      </c>
      <c r="M58" s="1"/>
      <c r="N58" s="1"/>
      <c r="O58" s="1"/>
      <c r="P58" s="1"/>
    </row>
    <row r="59" spans="1:16" ht="12.75" customHeight="1" x14ac:dyDescent="0.2">
      <c r="A59" s="1"/>
      <c r="B59" s="1"/>
      <c r="C59" s="1"/>
      <c r="D59" s="1"/>
      <c r="E59" s="1"/>
      <c r="G59" s="5" t="s">
        <v>93</v>
      </c>
      <c r="H59" s="1" t="s">
        <v>673</v>
      </c>
      <c r="M59" s="1"/>
      <c r="N59" s="1"/>
      <c r="O59" s="1"/>
      <c r="P59" s="1"/>
    </row>
    <row r="60" spans="1:16" ht="12.75" customHeight="1" x14ac:dyDescent="0.2">
      <c r="A60" s="1"/>
      <c r="B60" s="1"/>
      <c r="C60" s="1"/>
      <c r="D60" s="1"/>
      <c r="E60" s="1"/>
      <c r="G60" s="5" t="s">
        <v>674</v>
      </c>
      <c r="H60" s="1" t="s">
        <v>675</v>
      </c>
      <c r="M60" s="1"/>
      <c r="N60" s="1"/>
      <c r="O60" s="1"/>
      <c r="P60" s="1"/>
    </row>
    <row r="61" spans="1:16" ht="12.75" customHeight="1" x14ac:dyDescent="0.2">
      <c r="A61" s="1"/>
      <c r="B61" s="1"/>
      <c r="C61" s="1"/>
      <c r="D61" s="1"/>
      <c r="E61" s="1"/>
      <c r="G61" s="5" t="s">
        <v>676</v>
      </c>
      <c r="H61" s="1" t="s">
        <v>677</v>
      </c>
      <c r="M61" s="1"/>
      <c r="N61" s="1"/>
      <c r="O61" s="1"/>
      <c r="P61" s="1"/>
    </row>
    <row r="62" spans="1:16" ht="12.75" customHeight="1" x14ac:dyDescent="0.2">
      <c r="A62" s="1"/>
      <c r="B62" s="1"/>
      <c r="C62" s="1"/>
      <c r="D62" s="1"/>
      <c r="E62" s="1"/>
      <c r="G62" s="5" t="s">
        <v>678</v>
      </c>
      <c r="H62" s="1" t="s">
        <v>679</v>
      </c>
      <c r="M62" s="1"/>
      <c r="N62" s="1"/>
      <c r="O62" s="1"/>
      <c r="P62" s="1"/>
    </row>
    <row r="63" spans="1:16" ht="12.75" customHeight="1" x14ac:dyDescent="0.2">
      <c r="A63" s="1"/>
      <c r="B63" s="1"/>
      <c r="C63" s="1"/>
      <c r="D63" s="1"/>
      <c r="E63" s="1"/>
      <c r="G63" s="5" t="s">
        <v>680</v>
      </c>
      <c r="H63" s="1" t="s">
        <v>681</v>
      </c>
      <c r="M63" s="1"/>
      <c r="N63" s="1"/>
      <c r="O63" s="1"/>
      <c r="P63" s="1"/>
    </row>
    <row r="64" spans="1:16" ht="12.75" customHeight="1" x14ac:dyDescent="0.2">
      <c r="A64" s="1"/>
      <c r="B64" s="1"/>
      <c r="C64" s="1"/>
      <c r="D64" s="1"/>
      <c r="E64" s="1"/>
      <c r="G64" s="5" t="s">
        <v>682</v>
      </c>
      <c r="H64" s="1" t="s">
        <v>683</v>
      </c>
      <c r="M64" s="1"/>
      <c r="N64" s="1"/>
      <c r="O64" s="1"/>
      <c r="P64" s="1"/>
    </row>
    <row r="65" spans="1:16" ht="12.75" customHeight="1" x14ac:dyDescent="0.2">
      <c r="A65" s="1"/>
      <c r="B65" s="1"/>
      <c r="C65" s="1"/>
      <c r="D65" s="1"/>
      <c r="E65" s="1"/>
      <c r="G65" s="5" t="s">
        <v>19</v>
      </c>
      <c r="H65" s="1" t="s">
        <v>684</v>
      </c>
      <c r="M65" s="1"/>
      <c r="N65" s="1"/>
      <c r="O65" s="1"/>
      <c r="P65" s="1"/>
    </row>
    <row r="66" spans="1:16" ht="12.75" customHeight="1" x14ac:dyDescent="0.2">
      <c r="A66" s="1"/>
      <c r="B66" s="1"/>
      <c r="C66" s="1"/>
      <c r="D66" s="1"/>
      <c r="E66" s="1"/>
      <c r="G66" s="68" t="s">
        <v>685</v>
      </c>
      <c r="H66" s="1" t="s">
        <v>686</v>
      </c>
      <c r="M66" s="1"/>
      <c r="N66" s="1"/>
      <c r="O66" s="1"/>
      <c r="P66"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sheetViews>
  <sheetFormatPr defaultColWidth="17.28515625" defaultRowHeight="15" customHeight="1" x14ac:dyDescent="0.2"/>
  <cols>
    <col min="1" max="1" width="10" customWidth="1"/>
    <col min="2" max="2" width="23.28515625" customWidth="1"/>
    <col min="3" max="10" width="8" customWidth="1"/>
  </cols>
  <sheetData>
    <row r="1" spans="1:10" ht="12.75" customHeight="1" x14ac:dyDescent="0.2">
      <c r="A1" s="1" t="s">
        <v>64</v>
      </c>
      <c r="B1" s="1" t="s">
        <v>687</v>
      </c>
      <c r="J1" s="1" t="s">
        <v>688</v>
      </c>
    </row>
    <row r="2" spans="1:10" ht="12.75" customHeight="1" x14ac:dyDescent="0.2">
      <c r="A2" s="1">
        <v>1</v>
      </c>
      <c r="B2" s="1" t="s">
        <v>689</v>
      </c>
      <c r="J2" s="1" t="s">
        <v>690</v>
      </c>
    </row>
    <row r="3" spans="1:10" ht="12.75" customHeight="1" x14ac:dyDescent="0.2">
      <c r="A3" s="1">
        <v>2</v>
      </c>
      <c r="B3" s="1" t="s">
        <v>691</v>
      </c>
    </row>
    <row r="4" spans="1:10" ht="12.75" customHeight="1" x14ac:dyDescent="0.2">
      <c r="A4" s="1">
        <v>3</v>
      </c>
      <c r="B4" s="1" t="s">
        <v>692</v>
      </c>
    </row>
    <row r="5" spans="1:10" ht="12.75" customHeight="1" x14ac:dyDescent="0.2">
      <c r="A5" s="1">
        <v>4</v>
      </c>
      <c r="B5" s="1" t="s">
        <v>693</v>
      </c>
    </row>
    <row r="6" spans="1:10" ht="12.75" customHeight="1" x14ac:dyDescent="0.2">
      <c r="A6" s="1">
        <v>5</v>
      </c>
      <c r="B6" s="1" t="s">
        <v>694</v>
      </c>
    </row>
    <row r="7" spans="1:10" ht="12.75" customHeight="1" x14ac:dyDescent="0.2">
      <c r="A7" s="1">
        <v>6</v>
      </c>
      <c r="B7" s="1" t="s">
        <v>695</v>
      </c>
      <c r="C7" s="1" t="s">
        <v>696</v>
      </c>
    </row>
    <row r="8" spans="1:10" ht="12.75" customHeight="1" x14ac:dyDescent="0.2">
      <c r="A8" s="1"/>
      <c r="B8" s="1"/>
    </row>
    <row r="9" spans="1:10" ht="12.75" customHeight="1" x14ac:dyDescent="0.2">
      <c r="A9" s="1" t="s">
        <v>697</v>
      </c>
      <c r="B9" s="1"/>
    </row>
    <row r="10" spans="1:10" ht="12.75" customHeight="1" x14ac:dyDescent="0.2">
      <c r="A10" s="1" t="s">
        <v>698</v>
      </c>
      <c r="B10" s="1" t="s">
        <v>699</v>
      </c>
    </row>
    <row r="11" spans="1:10" ht="12.75" customHeight="1" x14ac:dyDescent="0.2">
      <c r="A11" s="1" t="s">
        <v>700</v>
      </c>
      <c r="B11" s="1" t="s">
        <v>701</v>
      </c>
    </row>
    <row r="12" spans="1:10" ht="12.75" customHeight="1" x14ac:dyDescent="0.2">
      <c r="A12" s="1"/>
      <c r="B12" s="1"/>
    </row>
    <row r="13" spans="1:10" ht="12.75" customHeight="1" x14ac:dyDescent="0.2">
      <c r="A13" s="1" t="s">
        <v>702</v>
      </c>
      <c r="B13" s="1"/>
    </row>
    <row r="14" spans="1:10" ht="12.75" customHeight="1" x14ac:dyDescent="0.2">
      <c r="A14" s="1" t="s">
        <v>703</v>
      </c>
      <c r="B14" s="1" t="s">
        <v>704</v>
      </c>
      <c r="C14" s="1" t="s">
        <v>705</v>
      </c>
    </row>
    <row r="15" spans="1:10" ht="12.75" customHeight="1" x14ac:dyDescent="0.2">
      <c r="A15" s="1" t="s">
        <v>703</v>
      </c>
      <c r="B15" s="1" t="s">
        <v>706</v>
      </c>
    </row>
    <row r="16" spans="1:10" ht="12.75" customHeight="1" x14ac:dyDescent="0.2">
      <c r="A16" s="1" t="s">
        <v>707</v>
      </c>
      <c r="B16" s="1" t="s">
        <v>708</v>
      </c>
    </row>
    <row r="17" spans="1:2" ht="12.75" customHeight="1" x14ac:dyDescent="0.2">
      <c r="A17" s="1"/>
      <c r="B17" s="1"/>
    </row>
    <row r="18" spans="1:2" ht="12.75" customHeight="1" x14ac:dyDescent="0.2">
      <c r="A18" s="1" t="s">
        <v>709</v>
      </c>
      <c r="B18" s="1" t="s">
        <v>710</v>
      </c>
    </row>
    <row r="19" spans="1:2" ht="12.75" customHeight="1" x14ac:dyDescent="0.2">
      <c r="A19" s="1" t="s">
        <v>711</v>
      </c>
      <c r="B19" s="1" t="s">
        <v>712</v>
      </c>
    </row>
    <row r="20" spans="1:2" ht="12.75" customHeight="1" x14ac:dyDescent="0.2">
      <c r="A20" s="1" t="s">
        <v>110</v>
      </c>
      <c r="B20" s="1" t="s">
        <v>713</v>
      </c>
    </row>
    <row r="21" spans="1:2" ht="12.75" customHeight="1" x14ac:dyDescent="0.2">
      <c r="A21" s="1" t="s">
        <v>112</v>
      </c>
      <c r="B21" s="1" t="s">
        <v>714</v>
      </c>
    </row>
    <row r="22" spans="1:2" ht="12.75" customHeight="1" x14ac:dyDescent="0.2">
      <c r="A22" s="1"/>
      <c r="B22" s="1"/>
    </row>
    <row r="23" spans="1:2" ht="12.75" customHeight="1" x14ac:dyDescent="0.2">
      <c r="A23" s="1" t="s">
        <v>715</v>
      </c>
      <c r="B23" s="1" t="s">
        <v>716</v>
      </c>
    </row>
    <row r="24" spans="1:2" ht="12.75" customHeight="1" x14ac:dyDescent="0.2">
      <c r="A24" s="1" t="s">
        <v>717</v>
      </c>
      <c r="B24" s="1" t="s">
        <v>718</v>
      </c>
    </row>
    <row r="25" spans="1:2" ht="12.75" customHeight="1" x14ac:dyDescent="0.2">
      <c r="A25" s="1"/>
      <c r="B25" s="1"/>
    </row>
    <row r="26" spans="1:2" ht="12.75" customHeight="1" x14ac:dyDescent="0.2">
      <c r="A26" s="1" t="s">
        <v>719</v>
      </c>
      <c r="B26" s="1" t="s">
        <v>720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7"/>
  <sheetViews>
    <sheetView workbookViewId="0"/>
  </sheetViews>
  <sheetFormatPr defaultColWidth="17.28515625" defaultRowHeight="15" customHeight="1" x14ac:dyDescent="0.2"/>
  <cols>
    <col min="1" max="1" width="66.42578125" customWidth="1"/>
    <col min="2" max="2" width="8" customWidth="1"/>
    <col min="3" max="3" width="34" customWidth="1"/>
    <col min="4" max="6" width="8" customWidth="1"/>
  </cols>
  <sheetData>
    <row r="1" spans="1:4" ht="12.75" customHeight="1" x14ac:dyDescent="0.2">
      <c r="A1" s="57" t="s">
        <v>721</v>
      </c>
      <c r="C1" s="72" t="s">
        <v>722</v>
      </c>
      <c r="D1" s="1" t="s">
        <v>723</v>
      </c>
    </row>
    <row r="2" spans="1:4" ht="12.75" customHeight="1" x14ac:dyDescent="0.2">
      <c r="A2" s="57" t="s">
        <v>724</v>
      </c>
      <c r="C2" s="72" t="s">
        <v>725</v>
      </c>
      <c r="D2" s="1" t="s">
        <v>726</v>
      </c>
    </row>
    <row r="3" spans="1:4" ht="12.75" customHeight="1" x14ac:dyDescent="0.2">
      <c r="A3" s="57"/>
      <c r="C3" s="72" t="s">
        <v>727</v>
      </c>
      <c r="D3" s="1" t="s">
        <v>726</v>
      </c>
    </row>
    <row r="4" spans="1:4" ht="12.75" customHeight="1" x14ac:dyDescent="0.2">
      <c r="A4" s="57" t="s">
        <v>728</v>
      </c>
      <c r="C4" s="73" t="s">
        <v>729</v>
      </c>
      <c r="D4" s="1" t="s">
        <v>730</v>
      </c>
    </row>
    <row r="5" spans="1:4" ht="12.75" customHeight="1" x14ac:dyDescent="0.2">
      <c r="A5" s="57" t="s">
        <v>731</v>
      </c>
      <c r="C5" s="73" t="s">
        <v>732</v>
      </c>
      <c r="D5" s="1" t="s">
        <v>733</v>
      </c>
    </row>
    <row r="6" spans="1:4" ht="12.75" customHeight="1" x14ac:dyDescent="0.2">
      <c r="A6" s="57" t="s">
        <v>734</v>
      </c>
      <c r="C6" s="73" t="s">
        <v>735</v>
      </c>
      <c r="D6" s="1" t="s">
        <v>736</v>
      </c>
    </row>
    <row r="7" spans="1:4" ht="12.75" customHeight="1" x14ac:dyDescent="0.2">
      <c r="A7" s="57" t="s">
        <v>737</v>
      </c>
      <c r="C7" s="73" t="s">
        <v>738</v>
      </c>
      <c r="D7" s="1" t="s">
        <v>739</v>
      </c>
    </row>
    <row r="8" spans="1:4" ht="12.75" customHeight="1" x14ac:dyDescent="0.2">
      <c r="A8" s="57" t="s">
        <v>740</v>
      </c>
      <c r="C8" s="73" t="s">
        <v>741</v>
      </c>
      <c r="D8" s="1" t="s">
        <v>742</v>
      </c>
    </row>
    <row r="9" spans="1:4" ht="12.75" customHeight="1" x14ac:dyDescent="0.2">
      <c r="A9" s="57" t="s">
        <v>743</v>
      </c>
      <c r="C9" s="1"/>
    </row>
    <row r="10" spans="1:4" ht="12.75" customHeight="1" x14ac:dyDescent="0.2">
      <c r="A10" s="57"/>
      <c r="C10" s="73"/>
    </row>
    <row r="11" spans="1:4" ht="12.75" customHeight="1" x14ac:dyDescent="0.2">
      <c r="A11" s="57" t="s">
        <v>744</v>
      </c>
      <c r="C11" s="1"/>
    </row>
    <row r="12" spans="1:4" ht="12.75" customHeight="1" x14ac:dyDescent="0.2">
      <c r="A12" s="57" t="s">
        <v>745</v>
      </c>
      <c r="C12" s="1"/>
    </row>
    <row r="13" spans="1:4" ht="12.75" customHeight="1" x14ac:dyDescent="0.2">
      <c r="A13" s="57" t="s">
        <v>746</v>
      </c>
      <c r="C13" s="1"/>
    </row>
    <row r="14" spans="1:4" ht="12.75" customHeight="1" x14ac:dyDescent="0.2">
      <c r="A14" s="57" t="s">
        <v>747</v>
      </c>
      <c r="C14" s="1"/>
    </row>
    <row r="15" spans="1:4" ht="12.75" customHeight="1" x14ac:dyDescent="0.2">
      <c r="A15" s="57"/>
      <c r="C15" s="1"/>
    </row>
    <row r="16" spans="1:4" ht="12.75" customHeight="1" x14ac:dyDescent="0.2">
      <c r="A16" s="57" t="s">
        <v>748</v>
      </c>
      <c r="C16" s="1"/>
    </row>
    <row r="17" spans="1:3" ht="12.75" customHeight="1" x14ac:dyDescent="0.2">
      <c r="A17" s="57" t="s">
        <v>749</v>
      </c>
      <c r="C17" s="1"/>
    </row>
    <row r="18" spans="1:3" ht="12.75" customHeight="1" x14ac:dyDescent="0.2">
      <c r="A18" s="57"/>
      <c r="C18" s="1"/>
    </row>
    <row r="19" spans="1:3" ht="12.75" customHeight="1" x14ac:dyDescent="0.2">
      <c r="A19" s="57" t="s">
        <v>750</v>
      </c>
      <c r="C19" s="1"/>
    </row>
    <row r="20" spans="1:3" ht="12.75" customHeight="1" x14ac:dyDescent="0.2">
      <c r="A20" s="57" t="s">
        <v>751</v>
      </c>
      <c r="C20" s="1"/>
    </row>
    <row r="21" spans="1:3" ht="12.75" customHeight="1" x14ac:dyDescent="0.2">
      <c r="A21" s="57" t="s">
        <v>752</v>
      </c>
      <c r="C21" s="1"/>
    </row>
    <row r="22" spans="1:3" ht="12.75" customHeight="1" x14ac:dyDescent="0.2">
      <c r="A22" s="57"/>
      <c r="C22" s="1"/>
    </row>
    <row r="23" spans="1:3" ht="12.75" customHeight="1" x14ac:dyDescent="0.2">
      <c r="A23" s="57" t="s">
        <v>753</v>
      </c>
      <c r="C23" s="1"/>
    </row>
    <row r="24" spans="1:3" ht="12.75" customHeight="1" x14ac:dyDescent="0.2">
      <c r="A24" s="57"/>
      <c r="C24" s="1"/>
    </row>
    <row r="25" spans="1:3" ht="12.75" customHeight="1" x14ac:dyDescent="0.2">
      <c r="A25" s="57" t="s">
        <v>754</v>
      </c>
      <c r="C25" s="1"/>
    </row>
    <row r="26" spans="1:3" ht="12.75" customHeight="1" x14ac:dyDescent="0.2">
      <c r="A26" s="57" t="s">
        <v>755</v>
      </c>
      <c r="C26" s="1"/>
    </row>
    <row r="27" spans="1:3" ht="12.75" customHeight="1" x14ac:dyDescent="0.2">
      <c r="A27" s="57" t="s">
        <v>756</v>
      </c>
      <c r="C27" s="1"/>
    </row>
    <row r="28" spans="1:3" ht="12.75" customHeight="1" x14ac:dyDescent="0.2">
      <c r="A28" s="57" t="s">
        <v>757</v>
      </c>
      <c r="C28" s="1"/>
    </row>
    <row r="29" spans="1:3" ht="12.75" customHeight="1" x14ac:dyDescent="0.2">
      <c r="A29" s="57" t="s">
        <v>758</v>
      </c>
      <c r="C29" s="1"/>
    </row>
    <row r="30" spans="1:3" ht="12.75" customHeight="1" x14ac:dyDescent="0.2">
      <c r="A30" s="57" t="s">
        <v>759</v>
      </c>
      <c r="C30" s="1"/>
    </row>
    <row r="31" spans="1:3" ht="12.75" customHeight="1" x14ac:dyDescent="0.2">
      <c r="A31" s="57" t="s">
        <v>760</v>
      </c>
      <c r="C31" s="1"/>
    </row>
    <row r="32" spans="1:3" ht="12.75" customHeight="1" x14ac:dyDescent="0.2">
      <c r="A32" s="57" t="s">
        <v>761</v>
      </c>
      <c r="C32" s="1"/>
    </row>
    <row r="33" spans="1:3" ht="12.75" customHeight="1" x14ac:dyDescent="0.2">
      <c r="A33" s="57" t="s">
        <v>762</v>
      </c>
      <c r="C33" s="1"/>
    </row>
    <row r="34" spans="1:3" ht="12.75" customHeight="1" x14ac:dyDescent="0.2">
      <c r="A34" s="57" t="s">
        <v>763</v>
      </c>
      <c r="C34" s="1"/>
    </row>
    <row r="35" spans="1:3" ht="12.75" customHeight="1" x14ac:dyDescent="0.2">
      <c r="A35" s="57"/>
      <c r="C35" s="1"/>
    </row>
    <row r="36" spans="1:3" ht="12.75" customHeight="1" x14ac:dyDescent="0.2">
      <c r="A36" s="57" t="s">
        <v>764</v>
      </c>
      <c r="C36" s="1"/>
    </row>
    <row r="37" spans="1:3" ht="12.75" customHeight="1" x14ac:dyDescent="0.2">
      <c r="A37" s="57" t="s">
        <v>765</v>
      </c>
      <c r="C37" s="1"/>
    </row>
    <row r="38" spans="1:3" ht="12.75" customHeight="1" x14ac:dyDescent="0.2">
      <c r="A38" s="57" t="s">
        <v>766</v>
      </c>
      <c r="C38" s="1"/>
    </row>
    <row r="39" spans="1:3" ht="12.75" customHeight="1" x14ac:dyDescent="0.2">
      <c r="A39" s="57" t="s">
        <v>767</v>
      </c>
      <c r="C39" s="1"/>
    </row>
    <row r="40" spans="1:3" ht="12.75" customHeight="1" x14ac:dyDescent="0.2">
      <c r="A40" s="57" t="s">
        <v>768</v>
      </c>
      <c r="C40" s="1"/>
    </row>
    <row r="41" spans="1:3" ht="12.75" customHeight="1" x14ac:dyDescent="0.2">
      <c r="A41" s="57" t="s">
        <v>769</v>
      </c>
      <c r="C41" s="1"/>
    </row>
    <row r="42" spans="1:3" ht="12.75" customHeight="1" x14ac:dyDescent="0.2">
      <c r="A42" s="57" t="s">
        <v>770</v>
      </c>
      <c r="C42" s="1"/>
    </row>
    <row r="43" spans="1:3" ht="12.75" customHeight="1" x14ac:dyDescent="0.2">
      <c r="A43" s="57" t="s">
        <v>771</v>
      </c>
      <c r="C43" s="1"/>
    </row>
    <row r="44" spans="1:3" ht="12.75" customHeight="1" x14ac:dyDescent="0.2">
      <c r="A44" s="57"/>
      <c r="C44" s="1"/>
    </row>
    <row r="45" spans="1:3" ht="12.75" customHeight="1" x14ac:dyDescent="0.2">
      <c r="A45" s="57" t="s">
        <v>772</v>
      </c>
      <c r="C45" s="1"/>
    </row>
    <row r="46" spans="1:3" ht="12.75" customHeight="1" x14ac:dyDescent="0.2">
      <c r="A46" s="57" t="s">
        <v>773</v>
      </c>
      <c r="C46" s="1"/>
    </row>
    <row r="47" spans="1:3" ht="12.75" customHeight="1" x14ac:dyDescent="0.2">
      <c r="A47" s="57"/>
      <c r="C47" s="1"/>
    </row>
    <row r="48" spans="1:3" ht="12.75" customHeight="1" x14ac:dyDescent="0.2">
      <c r="A48" s="57" t="s">
        <v>774</v>
      </c>
      <c r="C48" s="1"/>
    </row>
    <row r="49" spans="1:3" ht="12.75" customHeight="1" x14ac:dyDescent="0.2">
      <c r="A49" s="57" t="s">
        <v>775</v>
      </c>
      <c r="C49" s="1"/>
    </row>
    <row r="50" spans="1:3" ht="12.75" customHeight="1" x14ac:dyDescent="0.2">
      <c r="A50" s="57" t="s">
        <v>776</v>
      </c>
      <c r="C50" s="1"/>
    </row>
    <row r="51" spans="1:3" ht="12.75" customHeight="1" x14ac:dyDescent="0.2">
      <c r="A51" s="57" t="s">
        <v>777</v>
      </c>
      <c r="C51" s="1"/>
    </row>
    <row r="52" spans="1:3" ht="12.75" customHeight="1" x14ac:dyDescent="0.2">
      <c r="A52" s="57" t="s">
        <v>778</v>
      </c>
      <c r="C52" s="1"/>
    </row>
    <row r="53" spans="1:3" ht="12.75" customHeight="1" x14ac:dyDescent="0.2">
      <c r="A53" s="57"/>
      <c r="C53" s="1"/>
    </row>
    <row r="54" spans="1:3" ht="12.75" customHeight="1" x14ac:dyDescent="0.2">
      <c r="A54" s="57" t="s">
        <v>779</v>
      </c>
      <c r="C54" s="1"/>
    </row>
    <row r="55" spans="1:3" ht="12.75" customHeight="1" x14ac:dyDescent="0.2">
      <c r="A55" s="57" t="s">
        <v>780</v>
      </c>
      <c r="C55" s="1"/>
    </row>
    <row r="56" spans="1:3" ht="12.75" customHeight="1" x14ac:dyDescent="0.2">
      <c r="A56" s="57" t="s">
        <v>781</v>
      </c>
      <c r="C56" s="1"/>
    </row>
    <row r="57" spans="1:3" ht="12.75" customHeight="1" x14ac:dyDescent="0.2">
      <c r="A57" s="57" t="s">
        <v>782</v>
      </c>
      <c r="C57" s="1"/>
    </row>
    <row r="58" spans="1:3" ht="12.75" customHeight="1" x14ac:dyDescent="0.2">
      <c r="A58" s="57"/>
      <c r="C58" s="1"/>
    </row>
    <row r="59" spans="1:3" ht="12.75" customHeight="1" x14ac:dyDescent="0.2">
      <c r="A59" s="57" t="s">
        <v>783</v>
      </c>
      <c r="C59" s="1"/>
    </row>
    <row r="60" spans="1:3" ht="12.75" customHeight="1" x14ac:dyDescent="0.2">
      <c r="A60" s="57" t="s">
        <v>784</v>
      </c>
      <c r="C60" s="1"/>
    </row>
    <row r="61" spans="1:3" ht="12.75" customHeight="1" x14ac:dyDescent="0.2">
      <c r="A61" s="57" t="s">
        <v>785</v>
      </c>
      <c r="C61" s="1"/>
    </row>
    <row r="62" spans="1:3" ht="12.75" customHeight="1" x14ac:dyDescent="0.2">
      <c r="A62" s="57" t="s">
        <v>786</v>
      </c>
      <c r="C62" s="1"/>
    </row>
    <row r="63" spans="1:3" ht="12.75" customHeight="1" x14ac:dyDescent="0.2">
      <c r="A63" s="57" t="s">
        <v>787</v>
      </c>
      <c r="C63" s="1"/>
    </row>
    <row r="64" spans="1:3" ht="12.75" customHeight="1" x14ac:dyDescent="0.2">
      <c r="A64" s="57" t="s">
        <v>788</v>
      </c>
      <c r="C64" s="1"/>
    </row>
    <row r="65" spans="1:3" ht="12.75" customHeight="1" x14ac:dyDescent="0.2">
      <c r="A65" s="57" t="s">
        <v>789</v>
      </c>
      <c r="C65" s="1"/>
    </row>
    <row r="66" spans="1:3" ht="12.75" customHeight="1" x14ac:dyDescent="0.2">
      <c r="A66" s="57"/>
      <c r="C66" s="1"/>
    </row>
    <row r="67" spans="1:3" ht="12.75" customHeight="1" x14ac:dyDescent="0.2">
      <c r="A67" s="57" t="s">
        <v>790</v>
      </c>
      <c r="C67"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6"/>
  <sheetViews>
    <sheetView workbookViewId="0">
      <selection activeCell="B20" sqref="B20"/>
    </sheetView>
  </sheetViews>
  <sheetFormatPr defaultColWidth="17.28515625" defaultRowHeight="15" customHeight="1" x14ac:dyDescent="0.2"/>
  <cols>
    <col min="1" max="1" width="17.7109375" customWidth="1"/>
    <col min="2" max="9" width="8" customWidth="1"/>
  </cols>
  <sheetData>
    <row r="1" spans="1:1" ht="12.75" customHeight="1" x14ac:dyDescent="0.2">
      <c r="A1" s="1" t="s">
        <v>791</v>
      </c>
    </row>
    <row r="2" spans="1:1" ht="12.75" customHeight="1" x14ac:dyDescent="0.2">
      <c r="A2" s="1" t="s">
        <v>792</v>
      </c>
    </row>
    <row r="3" spans="1:1" ht="12.75" customHeight="1" x14ac:dyDescent="0.2">
      <c r="A3" s="1"/>
    </row>
    <row r="4" spans="1:1" ht="12.75" customHeight="1" x14ac:dyDescent="0.2">
      <c r="A4" s="1" t="s">
        <v>793</v>
      </c>
    </row>
    <row r="5" spans="1:1" ht="12.75" customHeight="1" x14ac:dyDescent="0.2">
      <c r="A5" s="1" t="s">
        <v>794</v>
      </c>
    </row>
    <row r="6" spans="1:1" ht="12.75" customHeight="1" x14ac:dyDescent="0.2">
      <c r="A6" s="1" t="s">
        <v>795</v>
      </c>
    </row>
    <row r="7" spans="1:1" ht="12.75" customHeight="1" x14ac:dyDescent="0.2">
      <c r="A7" s="1" t="s">
        <v>796</v>
      </c>
    </row>
    <row r="8" spans="1:1" ht="12.75" customHeight="1" x14ac:dyDescent="0.2">
      <c r="A8" s="1" t="s">
        <v>797</v>
      </c>
    </row>
    <row r="9" spans="1:1" ht="12.75" customHeight="1" x14ac:dyDescent="0.2">
      <c r="A9" s="1" t="s">
        <v>798</v>
      </c>
    </row>
    <row r="10" spans="1:1" ht="12.75" customHeight="1" x14ac:dyDescent="0.2">
      <c r="A10" s="1"/>
    </row>
    <row r="11" spans="1:1" ht="12.75" customHeight="1" x14ac:dyDescent="0.2">
      <c r="A11" s="1" t="s">
        <v>799</v>
      </c>
    </row>
    <row r="12" spans="1:1" ht="12.75" customHeight="1" x14ac:dyDescent="0.2">
      <c r="A12" s="1" t="s">
        <v>800</v>
      </c>
    </row>
    <row r="13" spans="1:1" ht="12.75" customHeight="1" x14ac:dyDescent="0.2">
      <c r="A13" s="1"/>
    </row>
    <row r="14" spans="1:1" ht="12.75" customHeight="1" x14ac:dyDescent="0.2">
      <c r="A14" s="1" t="s">
        <v>801</v>
      </c>
    </row>
    <row r="15" spans="1:1" ht="12.75" customHeight="1" x14ac:dyDescent="0.2">
      <c r="A15" s="1" t="s">
        <v>802</v>
      </c>
    </row>
    <row r="16" spans="1:1" ht="12.75" customHeight="1" x14ac:dyDescent="0.2">
      <c r="A16" s="1" t="s">
        <v>803</v>
      </c>
    </row>
    <row r="17" spans="1:1" ht="12.75" customHeight="1" x14ac:dyDescent="0.2">
      <c r="A17" s="1" t="s">
        <v>804</v>
      </c>
    </row>
    <row r="18" spans="1:1" ht="12.75" customHeight="1" x14ac:dyDescent="0.2">
      <c r="A18" s="1" t="s">
        <v>805</v>
      </c>
    </row>
    <row r="19" spans="1:1" ht="12.75" customHeight="1" x14ac:dyDescent="0.2">
      <c r="A19" s="1" t="s">
        <v>806</v>
      </c>
    </row>
    <row r="20" spans="1:1" ht="12.75" customHeight="1" x14ac:dyDescent="0.2">
      <c r="A20" s="1" t="s">
        <v>807</v>
      </c>
    </row>
    <row r="21" spans="1:1" ht="12.75" customHeight="1" x14ac:dyDescent="0.2">
      <c r="A21" s="1" t="s">
        <v>808</v>
      </c>
    </row>
    <row r="22" spans="1:1" ht="12.75" customHeight="1" x14ac:dyDescent="0.2">
      <c r="A22" s="1"/>
    </row>
    <row r="23" spans="1:1" ht="12.75" customHeight="1" x14ac:dyDescent="0.2">
      <c r="A23" s="1" t="s">
        <v>809</v>
      </c>
    </row>
    <row r="24" spans="1:1" ht="12.75" customHeight="1" x14ac:dyDescent="0.2">
      <c r="A24" s="1" t="s">
        <v>810</v>
      </c>
    </row>
    <row r="25" spans="1:1" ht="12.75" customHeight="1" x14ac:dyDescent="0.2">
      <c r="A25" s="1" t="s">
        <v>811</v>
      </c>
    </row>
    <row r="26" spans="1:1" ht="12.75" customHeight="1" x14ac:dyDescent="0.2">
      <c r="A26" s="1" t="s">
        <v>812</v>
      </c>
    </row>
    <row r="27" spans="1:1" ht="12.75" customHeight="1" x14ac:dyDescent="0.2">
      <c r="A27" s="1" t="s">
        <v>813</v>
      </c>
    </row>
    <row r="28" spans="1:1" ht="12.75" customHeight="1" x14ac:dyDescent="0.2">
      <c r="A28" s="1"/>
    </row>
    <row r="29" spans="1:1" ht="12.75" customHeight="1" x14ac:dyDescent="0.2">
      <c r="A29" s="1" t="s">
        <v>814</v>
      </c>
    </row>
    <row r="30" spans="1:1" ht="12.75" customHeight="1" x14ac:dyDescent="0.2">
      <c r="A30" s="1" t="s">
        <v>815</v>
      </c>
    </row>
    <row r="31" spans="1:1" ht="12.75" customHeight="1" x14ac:dyDescent="0.2">
      <c r="A31" s="1" t="s">
        <v>816</v>
      </c>
    </row>
    <row r="32" spans="1:1" ht="12.75" customHeight="1" x14ac:dyDescent="0.2">
      <c r="A32" s="1" t="s">
        <v>817</v>
      </c>
    </row>
    <row r="33" spans="1:9" ht="12.75" customHeight="1" x14ac:dyDescent="0.2">
      <c r="A33" s="1" t="s">
        <v>818</v>
      </c>
    </row>
    <row r="34" spans="1:9" ht="12.75" customHeight="1" x14ac:dyDescent="0.2">
      <c r="A34" s="1" t="s">
        <v>819</v>
      </c>
    </row>
    <row r="35" spans="1:9" ht="12.75" customHeight="1" x14ac:dyDescent="0.2">
      <c r="A35" s="1"/>
    </row>
    <row r="36" spans="1:9" ht="12.75" customHeight="1" x14ac:dyDescent="0.2">
      <c r="A36" s="1" t="s">
        <v>820</v>
      </c>
    </row>
    <row r="37" spans="1:9" ht="12.75" customHeight="1" x14ac:dyDescent="0.2">
      <c r="A37" s="1" t="s">
        <v>821</v>
      </c>
    </row>
    <row r="38" spans="1:9" ht="12.75" customHeight="1" x14ac:dyDescent="0.2">
      <c r="A38" s="1" t="s">
        <v>822</v>
      </c>
    </row>
    <row r="39" spans="1:9" ht="12.75" customHeight="1" x14ac:dyDescent="0.2">
      <c r="A39" s="1"/>
    </row>
    <row r="40" spans="1:9" ht="12.75" customHeight="1" x14ac:dyDescent="0.2">
      <c r="A40" s="1" t="s">
        <v>823</v>
      </c>
    </row>
    <row r="41" spans="1:9" ht="12.75" customHeight="1" x14ac:dyDescent="0.2">
      <c r="A41" s="1" t="s">
        <v>824</v>
      </c>
    </row>
    <row r="42" spans="1:9" ht="12.75" customHeight="1" x14ac:dyDescent="0.2">
      <c r="A42" s="1"/>
    </row>
    <row r="43" spans="1:9" ht="12.75" customHeight="1" x14ac:dyDescent="0.2">
      <c r="A43" s="1"/>
    </row>
    <row r="44" spans="1:9" ht="12.75" customHeight="1" x14ac:dyDescent="0.2">
      <c r="A44" s="1" t="s">
        <v>825</v>
      </c>
      <c r="I44" s="1" t="s">
        <v>826</v>
      </c>
    </row>
    <row r="45" spans="1:9" ht="12.75" customHeight="1" x14ac:dyDescent="0.2">
      <c r="A45" s="1" t="s">
        <v>827</v>
      </c>
    </row>
    <row r="46" spans="1:9" ht="12.75" customHeight="1" x14ac:dyDescent="0.2">
      <c r="A46" s="1" t="s">
        <v>828</v>
      </c>
    </row>
    <row r="47" spans="1:9" ht="12.75" customHeight="1" x14ac:dyDescent="0.2">
      <c r="A47" s="1" t="s">
        <v>829</v>
      </c>
    </row>
    <row r="48" spans="1:9" ht="12.75" customHeight="1" x14ac:dyDescent="0.2">
      <c r="A48" s="1" t="s">
        <v>830</v>
      </c>
    </row>
    <row r="49" spans="1:1" ht="12.75" customHeight="1" x14ac:dyDescent="0.2">
      <c r="A49" s="1" t="s">
        <v>831</v>
      </c>
    </row>
    <row r="50" spans="1:1" ht="12.75" customHeight="1" x14ac:dyDescent="0.2">
      <c r="A50" s="1" t="s">
        <v>832</v>
      </c>
    </row>
    <row r="51" spans="1:1" ht="12.75" customHeight="1" x14ac:dyDescent="0.2">
      <c r="A51" s="1" t="s">
        <v>833</v>
      </c>
    </row>
    <row r="52" spans="1:1" ht="12.75" customHeight="1" x14ac:dyDescent="0.2">
      <c r="A52" s="1" t="s">
        <v>834</v>
      </c>
    </row>
    <row r="53" spans="1:1" ht="12.75" customHeight="1" x14ac:dyDescent="0.2">
      <c r="A53" s="1" t="s">
        <v>835</v>
      </c>
    </row>
    <row r="54" spans="1:1" ht="12.75" customHeight="1" x14ac:dyDescent="0.2">
      <c r="A54" s="1" t="s">
        <v>836</v>
      </c>
    </row>
    <row r="55" spans="1:1" ht="12.75" customHeight="1" x14ac:dyDescent="0.2">
      <c r="A55" s="1" t="s">
        <v>837</v>
      </c>
    </row>
    <row r="56" spans="1:1" ht="12.75" customHeight="1" x14ac:dyDescent="0.2">
      <c r="A56" s="1" t="s">
        <v>838</v>
      </c>
    </row>
    <row r="57" spans="1:1" ht="12.75" customHeight="1" x14ac:dyDescent="0.2">
      <c r="A57" s="1" t="s">
        <v>839</v>
      </c>
    </row>
    <row r="58" spans="1:1" ht="12.75" customHeight="1" x14ac:dyDescent="0.2">
      <c r="A58" s="1" t="s">
        <v>840</v>
      </c>
    </row>
    <row r="59" spans="1:1" ht="12.75" customHeight="1" x14ac:dyDescent="0.2">
      <c r="A59" s="1" t="s">
        <v>841</v>
      </c>
    </row>
    <row r="60" spans="1:1" ht="12.75" customHeight="1" x14ac:dyDescent="0.2">
      <c r="A60" s="1" t="s">
        <v>842</v>
      </c>
    </row>
    <row r="61" spans="1:1" ht="12.75" customHeight="1" x14ac:dyDescent="0.2">
      <c r="A61" s="1" t="s">
        <v>843</v>
      </c>
    </row>
    <row r="62" spans="1:1" ht="12.75" customHeight="1" x14ac:dyDescent="0.2">
      <c r="A62" s="1" t="s">
        <v>844</v>
      </c>
    </row>
    <row r="63" spans="1:1" ht="12.75" customHeight="1" x14ac:dyDescent="0.2">
      <c r="A63" s="1" t="s">
        <v>845</v>
      </c>
    </row>
    <row r="64" spans="1:1" ht="12.75" customHeight="1" x14ac:dyDescent="0.2">
      <c r="A64" s="1" t="s">
        <v>846</v>
      </c>
    </row>
    <row r="65" spans="1:1" ht="12.75" customHeight="1" x14ac:dyDescent="0.2">
      <c r="A65" s="1" t="s">
        <v>847</v>
      </c>
    </row>
    <row r="66" spans="1:1" ht="12.75" customHeight="1" x14ac:dyDescent="0.2">
      <c r="A66" s="1"/>
    </row>
    <row r="67" spans="1:1" ht="12.75" customHeight="1" x14ac:dyDescent="0.2">
      <c r="A67" s="1" t="s">
        <v>848</v>
      </c>
    </row>
    <row r="68" spans="1:1" ht="12.75" customHeight="1" x14ac:dyDescent="0.2">
      <c r="A68" s="1" t="s">
        <v>849</v>
      </c>
    </row>
    <row r="69" spans="1:1" ht="12.75" customHeight="1" x14ac:dyDescent="0.2">
      <c r="A69" s="1" t="s">
        <v>850</v>
      </c>
    </row>
    <row r="70" spans="1:1" ht="12.75" customHeight="1" x14ac:dyDescent="0.2">
      <c r="A70" s="1" t="s">
        <v>851</v>
      </c>
    </row>
    <row r="71" spans="1:1" ht="12.75" customHeight="1" x14ac:dyDescent="0.2">
      <c r="A71" s="1" t="s">
        <v>852</v>
      </c>
    </row>
    <row r="72" spans="1:1" ht="12.75" customHeight="1" x14ac:dyDescent="0.2">
      <c r="A72" s="1" t="s">
        <v>853</v>
      </c>
    </row>
    <row r="73" spans="1:1" ht="12.75" customHeight="1" x14ac:dyDescent="0.2">
      <c r="A73" s="1" t="s">
        <v>854</v>
      </c>
    </row>
    <row r="74" spans="1:1" ht="12.75" customHeight="1" x14ac:dyDescent="0.2">
      <c r="A74" s="1" t="s">
        <v>855</v>
      </c>
    </row>
    <row r="75" spans="1:1" ht="12.75" customHeight="1" x14ac:dyDescent="0.2">
      <c r="A75" s="1" t="s">
        <v>856</v>
      </c>
    </row>
    <row r="76" spans="1:1" ht="12.75" customHeight="1" x14ac:dyDescent="0.2">
      <c r="A76" s="1" t="s">
        <v>857</v>
      </c>
    </row>
    <row r="77" spans="1:1" ht="12.75" customHeight="1" x14ac:dyDescent="0.2">
      <c r="A77" s="1" t="s">
        <v>858</v>
      </c>
    </row>
    <row r="78" spans="1:1" ht="12.75" customHeight="1" x14ac:dyDescent="0.2">
      <c r="A78" s="1" t="s">
        <v>859</v>
      </c>
    </row>
    <row r="79" spans="1:1" ht="12.75" customHeight="1" x14ac:dyDescent="0.2">
      <c r="A79" s="1"/>
    </row>
    <row r="80" spans="1:1" ht="12.75" customHeight="1" x14ac:dyDescent="0.2">
      <c r="A80" s="1" t="s">
        <v>860</v>
      </c>
    </row>
    <row r="81" spans="1:1" ht="12.75" customHeight="1" x14ac:dyDescent="0.2">
      <c r="A81" s="1"/>
    </row>
    <row r="82" spans="1:1" ht="12.75" customHeight="1" x14ac:dyDescent="0.2">
      <c r="A82" s="1" t="s">
        <v>853</v>
      </c>
    </row>
    <row r="83" spans="1:1" ht="12.75" customHeight="1" x14ac:dyDescent="0.2">
      <c r="A83" s="1" t="s">
        <v>861</v>
      </c>
    </row>
    <row r="84" spans="1:1" ht="12.75" customHeight="1" x14ac:dyDescent="0.2">
      <c r="A84" s="1" t="s">
        <v>862</v>
      </c>
    </row>
    <row r="85" spans="1:1" ht="12.75" customHeight="1" x14ac:dyDescent="0.2">
      <c r="A85" s="1" t="s">
        <v>863</v>
      </c>
    </row>
    <row r="86" spans="1:1" ht="12.75" customHeight="1" x14ac:dyDescent="0.2">
      <c r="A86" s="1" t="s">
        <v>864</v>
      </c>
    </row>
    <row r="87" spans="1:1" ht="12.75" customHeight="1" x14ac:dyDescent="0.2">
      <c r="A87" s="1" t="s">
        <v>865</v>
      </c>
    </row>
    <row r="88" spans="1:1" ht="12.75" customHeight="1" x14ac:dyDescent="0.2">
      <c r="A88" s="1" t="s">
        <v>866</v>
      </c>
    </row>
    <row r="89" spans="1:1" ht="12.75" customHeight="1" x14ac:dyDescent="0.2">
      <c r="A89" s="1"/>
    </row>
    <row r="90" spans="1:1" ht="12.75" customHeight="1" x14ac:dyDescent="0.2">
      <c r="A90" s="1"/>
    </row>
    <row r="91" spans="1:1" ht="12.75" customHeight="1" x14ac:dyDescent="0.2">
      <c r="A91" s="1"/>
    </row>
    <row r="92" spans="1:1" ht="12.75" customHeight="1" x14ac:dyDescent="0.2">
      <c r="A92" s="1"/>
    </row>
    <row r="93" spans="1:1" ht="12.75" customHeight="1" x14ac:dyDescent="0.2">
      <c r="A93" s="1" t="s">
        <v>867</v>
      </c>
    </row>
    <row r="94" spans="1:1" ht="12.75" customHeight="1" x14ac:dyDescent="0.2">
      <c r="A94" s="1"/>
    </row>
    <row r="95" spans="1:1" ht="12.75" customHeight="1" x14ac:dyDescent="0.2">
      <c r="A95" s="1" t="s">
        <v>868</v>
      </c>
    </row>
    <row r="96" spans="1:1" ht="12.75" customHeight="1" x14ac:dyDescent="0.2">
      <c r="A96" s="1" t="s">
        <v>869</v>
      </c>
    </row>
    <row r="97" spans="1:1" ht="12.75" customHeight="1" x14ac:dyDescent="0.2">
      <c r="A97" s="1"/>
    </row>
    <row r="98" spans="1:1" ht="12.75" customHeight="1" x14ac:dyDescent="0.2">
      <c r="A98" s="1" t="s">
        <v>870</v>
      </c>
    </row>
    <row r="99" spans="1:1" ht="12.75" customHeight="1" x14ac:dyDescent="0.2">
      <c r="A99" s="1"/>
    </row>
    <row r="100" spans="1:1" ht="12.75" customHeight="1" x14ac:dyDescent="0.2">
      <c r="A100" s="1" t="s">
        <v>871</v>
      </c>
    </row>
    <row r="101" spans="1:1" ht="12.75" customHeight="1" x14ac:dyDescent="0.2">
      <c r="A101" s="1"/>
    </row>
    <row r="102" spans="1:1" ht="12.75" customHeight="1" x14ac:dyDescent="0.2">
      <c r="A102" s="1" t="s">
        <v>872</v>
      </c>
    </row>
    <row r="103" spans="1:1" ht="12.75" customHeight="1" x14ac:dyDescent="0.2">
      <c r="A103" s="1"/>
    </row>
    <row r="104" spans="1:1" ht="12.75" customHeight="1" x14ac:dyDescent="0.2">
      <c r="A104" s="1" t="s">
        <v>873</v>
      </c>
    </row>
    <row r="105" spans="1:1" ht="12.75" customHeight="1" x14ac:dyDescent="0.2">
      <c r="A105" s="1" t="s">
        <v>874</v>
      </c>
    </row>
    <row r="106" spans="1:1" ht="12.75" customHeight="1" x14ac:dyDescent="0.2">
      <c r="A106" s="1"/>
    </row>
    <row r="107" spans="1:1" ht="12.75" customHeight="1" x14ac:dyDescent="0.2">
      <c r="A107" s="12" t="s">
        <v>875</v>
      </c>
    </row>
    <row r="108" spans="1:1" ht="12.75" customHeight="1" x14ac:dyDescent="0.2">
      <c r="A108" s="12" t="s">
        <v>876</v>
      </c>
    </row>
    <row r="109" spans="1:1" ht="12.75" customHeight="1" x14ac:dyDescent="0.2">
      <c r="A109" s="12" t="s">
        <v>877</v>
      </c>
    </row>
    <row r="110" spans="1:1" ht="12.75" customHeight="1" x14ac:dyDescent="0.2">
      <c r="A110" s="1"/>
    </row>
    <row r="111" spans="1:1" ht="12.75" customHeight="1" x14ac:dyDescent="0.2">
      <c r="A111" s="1" t="s">
        <v>878</v>
      </c>
    </row>
    <row r="112" spans="1:1" ht="12.75" customHeight="1" x14ac:dyDescent="0.2">
      <c r="A112" s="1"/>
    </row>
    <row r="113" spans="1:1" ht="12.75" customHeight="1" x14ac:dyDescent="0.2">
      <c r="A113" s="1" t="s">
        <v>879</v>
      </c>
    </row>
    <row r="114" spans="1:1" ht="12.75" customHeight="1" x14ac:dyDescent="0.2">
      <c r="A114" s="1"/>
    </row>
    <row r="115" spans="1:1" ht="12.75" customHeight="1" x14ac:dyDescent="0.2">
      <c r="A115" s="1" t="s">
        <v>880</v>
      </c>
    </row>
    <row r="116" spans="1:1" ht="12.75" customHeight="1" x14ac:dyDescent="0.2">
      <c r="A116" s="1"/>
    </row>
    <row r="117" spans="1:1" ht="12.75" customHeight="1" x14ac:dyDescent="0.2">
      <c r="A117" s="1" t="s">
        <v>881</v>
      </c>
    </row>
    <row r="118" spans="1:1" ht="12.75" customHeight="1" x14ac:dyDescent="0.2">
      <c r="A118" s="1" t="s">
        <v>882</v>
      </c>
    </row>
    <row r="119" spans="1:1" ht="12.75" customHeight="1" x14ac:dyDescent="0.2">
      <c r="A119" s="1" t="s">
        <v>883</v>
      </c>
    </row>
    <row r="120" spans="1:1" ht="12.75" customHeight="1" x14ac:dyDescent="0.2">
      <c r="A120" s="1" t="s">
        <v>884</v>
      </c>
    </row>
    <row r="121" spans="1:1" ht="12.75" customHeight="1" x14ac:dyDescent="0.2">
      <c r="A121" s="1" t="s">
        <v>885</v>
      </c>
    </row>
    <row r="122" spans="1:1" ht="12.75" customHeight="1" x14ac:dyDescent="0.2">
      <c r="A122" s="1" t="s">
        <v>886</v>
      </c>
    </row>
    <row r="123" spans="1:1" ht="12.75" customHeight="1" x14ac:dyDescent="0.2">
      <c r="A123" s="1" t="s">
        <v>887</v>
      </c>
    </row>
    <row r="124" spans="1:1" ht="12.75" customHeight="1" x14ac:dyDescent="0.2">
      <c r="A124" s="1" t="s">
        <v>888</v>
      </c>
    </row>
    <row r="125" spans="1:1" ht="12.75" customHeight="1" x14ac:dyDescent="0.2">
      <c r="A125" s="1" t="s">
        <v>889</v>
      </c>
    </row>
    <row r="126" spans="1:1" ht="12.75" customHeight="1" x14ac:dyDescent="0.2">
      <c r="A126" s="1" t="s">
        <v>883</v>
      </c>
    </row>
    <row r="127" spans="1:1" ht="12.75" customHeight="1" x14ac:dyDescent="0.2">
      <c r="A127" s="1" t="s">
        <v>890</v>
      </c>
    </row>
    <row r="128" spans="1:1" ht="12.75" customHeight="1" x14ac:dyDescent="0.2">
      <c r="A128" s="1" t="s">
        <v>891</v>
      </c>
    </row>
    <row r="129" spans="1:1" ht="12.75" customHeight="1" x14ac:dyDescent="0.2">
      <c r="A129" s="1" t="s">
        <v>892</v>
      </c>
    </row>
    <row r="130" spans="1:1" ht="12.75" customHeight="1" x14ac:dyDescent="0.2">
      <c r="A130" s="1"/>
    </row>
    <row r="131" spans="1:1" ht="12.75" customHeight="1" x14ac:dyDescent="0.2">
      <c r="A131" s="1" t="s">
        <v>893</v>
      </c>
    </row>
    <row r="132" spans="1:1" ht="12.75" customHeight="1" x14ac:dyDescent="0.2">
      <c r="A132" s="1" t="s">
        <v>894</v>
      </c>
    </row>
    <row r="133" spans="1:1" ht="12.75" customHeight="1" x14ac:dyDescent="0.2">
      <c r="A133" s="1"/>
    </row>
    <row r="134" spans="1:1" ht="12.75" customHeight="1" x14ac:dyDescent="0.2">
      <c r="A134" s="1" t="s">
        <v>895</v>
      </c>
    </row>
    <row r="135" spans="1:1" ht="12.75" customHeight="1" x14ac:dyDescent="0.2">
      <c r="A135" s="1"/>
    </row>
    <row r="136" spans="1:1" ht="12.75" customHeight="1" x14ac:dyDescent="0.2">
      <c r="A136" s="1" t="s">
        <v>896</v>
      </c>
    </row>
    <row r="137" spans="1:1" ht="12.75" customHeight="1" x14ac:dyDescent="0.2">
      <c r="A137" s="1"/>
    </row>
    <row r="138" spans="1:1" ht="12.75" customHeight="1" x14ac:dyDescent="0.2">
      <c r="A138" s="1" t="s">
        <v>897</v>
      </c>
    </row>
    <row r="139" spans="1:1" ht="12.75" customHeight="1" x14ac:dyDescent="0.2">
      <c r="A139" s="1"/>
    </row>
    <row r="140" spans="1:1" ht="12.75" customHeight="1" x14ac:dyDescent="0.2">
      <c r="A140" s="1" t="s">
        <v>898</v>
      </c>
    </row>
    <row r="141" spans="1:1" ht="12.75" customHeight="1" x14ac:dyDescent="0.2">
      <c r="A141" s="1"/>
    </row>
    <row r="142" spans="1:1" ht="12.75" customHeight="1" x14ac:dyDescent="0.2">
      <c r="A142" s="1"/>
    </row>
    <row r="143" spans="1:1" ht="12.75" customHeight="1" x14ac:dyDescent="0.2">
      <c r="A143" s="1"/>
    </row>
    <row r="144" spans="1:1" ht="12.75" customHeight="1" x14ac:dyDescent="0.2">
      <c r="A144" s="1" t="s">
        <v>899</v>
      </c>
    </row>
    <row r="145" spans="1:1" ht="12.75" customHeight="1" x14ac:dyDescent="0.2">
      <c r="A145" s="1"/>
    </row>
    <row r="146" spans="1:1" ht="12.75" customHeight="1" x14ac:dyDescent="0.2">
      <c r="A146" s="1" t="s">
        <v>900</v>
      </c>
    </row>
    <row r="147" spans="1:1" ht="12.75" customHeight="1" x14ac:dyDescent="0.2">
      <c r="A147" s="1"/>
    </row>
    <row r="148" spans="1:1" ht="12.75" customHeight="1" x14ac:dyDescent="0.2">
      <c r="A148" s="1" t="s">
        <v>901</v>
      </c>
    </row>
    <row r="149" spans="1:1" ht="12.75" customHeight="1" x14ac:dyDescent="0.2">
      <c r="A149" s="1"/>
    </row>
    <row r="150" spans="1:1" ht="12.75" customHeight="1" x14ac:dyDescent="0.2">
      <c r="A150" s="1" t="s">
        <v>902</v>
      </c>
    </row>
    <row r="151" spans="1:1" ht="12.75" customHeight="1" x14ac:dyDescent="0.2">
      <c r="A151" s="1"/>
    </row>
    <row r="152" spans="1:1" ht="12.75" customHeight="1" x14ac:dyDescent="0.2">
      <c r="A152" s="1" t="s">
        <v>903</v>
      </c>
    </row>
    <row r="153" spans="1:1" ht="12.75" customHeight="1" x14ac:dyDescent="0.2">
      <c r="A153" s="1" t="s">
        <v>904</v>
      </c>
    </row>
    <row r="154" spans="1:1" ht="12.75" customHeight="1" x14ac:dyDescent="0.2">
      <c r="A154" s="1" t="s">
        <v>905</v>
      </c>
    </row>
    <row r="155" spans="1:1" ht="12.75" customHeight="1" x14ac:dyDescent="0.2">
      <c r="A155" s="1" t="s">
        <v>906</v>
      </c>
    </row>
    <row r="156" spans="1:1" ht="12.75" customHeight="1" x14ac:dyDescent="0.2">
      <c r="A156" s="1" t="s">
        <v>907</v>
      </c>
    </row>
    <row r="157" spans="1:1" ht="12.75" customHeight="1" x14ac:dyDescent="0.2">
      <c r="A157" s="1" t="s">
        <v>908</v>
      </c>
    </row>
    <row r="158" spans="1:1" ht="12.75" customHeight="1" x14ac:dyDescent="0.2">
      <c r="A158" s="1" t="s">
        <v>909</v>
      </c>
    </row>
    <row r="159" spans="1:1" ht="12.75" customHeight="1" x14ac:dyDescent="0.2">
      <c r="A159" s="1"/>
    </row>
    <row r="160" spans="1:1" ht="12.75" customHeight="1" x14ac:dyDescent="0.2">
      <c r="A160" s="1" t="s">
        <v>910</v>
      </c>
    </row>
    <row r="161" spans="1:1" ht="12.75" customHeight="1" x14ac:dyDescent="0.2">
      <c r="A161" s="1" t="s">
        <v>911</v>
      </c>
    </row>
    <row r="162" spans="1:1" ht="12.75" customHeight="1" x14ac:dyDescent="0.2">
      <c r="A162" s="1" t="s">
        <v>912</v>
      </c>
    </row>
    <row r="163" spans="1:1" ht="12.75" customHeight="1" x14ac:dyDescent="0.2">
      <c r="A163" s="1"/>
    </row>
    <row r="164" spans="1:1" ht="12.75" customHeight="1" x14ac:dyDescent="0.2">
      <c r="A164" s="1"/>
    </row>
    <row r="165" spans="1:1" ht="12.75" customHeight="1" x14ac:dyDescent="0.2">
      <c r="A165" s="1" t="s">
        <v>913</v>
      </c>
    </row>
    <row r="166" spans="1:1" ht="12.75" customHeight="1" x14ac:dyDescent="0.2">
      <c r="A166" s="1" t="s">
        <v>914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4"/>
  <sheetViews>
    <sheetView tabSelected="1" workbookViewId="0">
      <selection activeCell="E25" sqref="E25"/>
    </sheetView>
  </sheetViews>
  <sheetFormatPr defaultRowHeight="12.75" x14ac:dyDescent="0.2"/>
  <cols>
    <col min="1" max="1" width="110.28515625" customWidth="1"/>
    <col min="2" max="2" width="10.42578125" hidden="1" customWidth="1"/>
    <col min="3" max="7" width="10.42578125" customWidth="1"/>
    <col min="9" max="9" width="7.42578125" customWidth="1"/>
    <col min="10" max="10" width="9.140625" hidden="1" customWidth="1"/>
    <col min="12" max="12" width="5.5703125" customWidth="1"/>
    <col min="14" max="14" width="13.85546875" customWidth="1"/>
    <col min="15" max="15" width="3.7109375" customWidth="1"/>
    <col min="17" max="17" width="5.5703125" customWidth="1"/>
  </cols>
  <sheetData>
    <row r="1" spans="1:16" ht="14.25" x14ac:dyDescent="0.2">
      <c r="A1" s="50" t="s">
        <v>220</v>
      </c>
      <c r="B1" s="5" t="s">
        <v>1494</v>
      </c>
      <c r="C1" s="12" t="s">
        <v>1495</v>
      </c>
      <c r="D1" s="12" t="s">
        <v>1496</v>
      </c>
      <c r="E1" s="12" t="s">
        <v>1497</v>
      </c>
      <c r="F1" s="12" t="s">
        <v>1498</v>
      </c>
      <c r="G1" s="12" t="s">
        <v>1499</v>
      </c>
      <c r="H1" s="12" t="s">
        <v>497</v>
      </c>
      <c r="I1" s="12"/>
      <c r="J1" s="12"/>
      <c r="K1" s="12"/>
      <c r="L1" s="12"/>
      <c r="M1" s="12"/>
      <c r="N1" s="12"/>
      <c r="O1" s="12"/>
      <c r="P1" s="12"/>
    </row>
    <row r="2" spans="1:16" x14ac:dyDescent="0.2">
      <c r="A2" s="12" t="s">
        <v>225</v>
      </c>
      <c r="B2" s="12"/>
      <c r="C2" t="str">
        <f>RIGHT(LEFT(A2,19),2)</f>
        <v>44</v>
      </c>
      <c r="D2" t="str">
        <f>HEX2BIN(C2,8)</f>
        <v>01000100</v>
      </c>
      <c r="E2">
        <v>1001000</v>
      </c>
      <c r="F2" t="str">
        <f>BIN2HEX(E2,8)</f>
        <v>00000048</v>
      </c>
      <c r="G2">
        <v>34</v>
      </c>
      <c r="H2" s="12" t="str">
        <f>CONCATENATE("3F 05 00 0C 00 ",Table1[[#This Row],[Column2]])</f>
        <v>3F 05 00 0C 00 44</v>
      </c>
      <c r="I2" s="12"/>
      <c r="J2" s="12"/>
      <c r="K2" s="12"/>
      <c r="L2" s="12"/>
      <c r="M2" s="12"/>
      <c r="N2" s="12"/>
      <c r="O2" s="12"/>
      <c r="P2" s="12"/>
    </row>
    <row r="3" spans="1:16" x14ac:dyDescent="0.2">
      <c r="A3" s="12" t="s">
        <v>230</v>
      </c>
      <c r="B3" s="12"/>
      <c r="C3" t="str">
        <f>RIGHT(LEFT(A3,19),2)</f>
        <v>45</v>
      </c>
      <c r="D3" t="str">
        <f t="shared" ref="D3:E21" si="0">HEX2BIN(C3,8)</f>
        <v>01000101</v>
      </c>
      <c r="E3">
        <v>1001001</v>
      </c>
      <c r="F3" t="str">
        <f t="shared" ref="F3:G5" si="1">BIN2HEX(E3,8)</f>
        <v>00000049</v>
      </c>
      <c r="G3">
        <v>35</v>
      </c>
      <c r="H3" s="12" t="str">
        <f>CONCATENATE("3F 05 00 0C 00 ",Table1[[#This Row],[Column2]])</f>
        <v>3F 05 00 0C 00 45</v>
      </c>
      <c r="I3" s="12"/>
      <c r="J3" s="12"/>
      <c r="K3" s="12"/>
      <c r="L3" s="12"/>
      <c r="M3" s="12"/>
      <c r="N3" s="12"/>
      <c r="O3" s="12"/>
      <c r="P3" s="12"/>
    </row>
    <row r="4" spans="1:16" x14ac:dyDescent="0.2">
      <c r="A4" s="12" t="s">
        <v>235</v>
      </c>
      <c r="B4" s="12"/>
      <c r="C4" t="str">
        <f>RIGHT(LEFT(A4,19),2)</f>
        <v>46</v>
      </c>
      <c r="D4" t="str">
        <f t="shared" si="0"/>
        <v>01000110</v>
      </c>
      <c r="E4">
        <v>1001010</v>
      </c>
      <c r="F4" t="str">
        <f t="shared" si="1"/>
        <v>0000004A</v>
      </c>
      <c r="G4">
        <v>36</v>
      </c>
      <c r="H4" s="12" t="str">
        <f>CONCATENATE("3F 05 00 0C 00 ",Table1[[#This Row],[Column2]])</f>
        <v>3F 05 00 0C 00 46</v>
      </c>
      <c r="I4" s="12"/>
      <c r="J4" s="12"/>
      <c r="K4" s="12"/>
      <c r="L4" s="12"/>
      <c r="M4" s="12"/>
      <c r="N4" s="12"/>
      <c r="O4" s="12"/>
      <c r="P4" s="12"/>
    </row>
    <row r="5" spans="1:16" x14ac:dyDescent="0.2">
      <c r="A5" s="12" t="s">
        <v>240</v>
      </c>
      <c r="B5" s="12"/>
      <c r="C5" t="str">
        <f>RIGHT(LEFT(A5,19),2)</f>
        <v>47</v>
      </c>
      <c r="D5" t="str">
        <f t="shared" si="0"/>
        <v>01000111</v>
      </c>
      <c r="E5">
        <v>1001011</v>
      </c>
      <c r="F5" t="str">
        <f t="shared" si="1"/>
        <v>0000004B</v>
      </c>
      <c r="G5">
        <v>37</v>
      </c>
      <c r="H5" s="12" t="str">
        <f>CONCATENATE("3F 05 00 0C 00 ",Table1[[#This Row],[Column2]])</f>
        <v>3F 05 00 0C 00 47</v>
      </c>
      <c r="I5" s="12"/>
      <c r="J5" s="12"/>
      <c r="K5" s="12"/>
      <c r="L5" s="12"/>
      <c r="M5" s="12"/>
      <c r="N5" s="12"/>
      <c r="O5" s="12"/>
      <c r="P5" s="12"/>
    </row>
    <row r="6" spans="1:16" x14ac:dyDescent="0.2">
      <c r="A6" s="12" t="s">
        <v>1487</v>
      </c>
      <c r="B6" s="12"/>
      <c r="C6" s="75">
        <v>56</v>
      </c>
      <c r="D6" s="75" t="s">
        <v>1482</v>
      </c>
      <c r="H6" s="12" t="str">
        <f>CONCATENATE("3F 05 00 0C 00 ",Table1[[#This Row],[Column2]])</f>
        <v>3F 05 00 0C 00 56</v>
      </c>
      <c r="I6" s="12"/>
      <c r="J6" s="12"/>
      <c r="K6" s="12"/>
      <c r="L6" s="12"/>
      <c r="M6" s="12"/>
      <c r="N6" s="12"/>
      <c r="O6" s="12"/>
      <c r="P6" s="12"/>
    </row>
    <row r="7" spans="1:16" x14ac:dyDescent="0.2">
      <c r="A7" s="12" t="s">
        <v>1488</v>
      </c>
      <c r="B7" s="12"/>
      <c r="C7" s="75">
        <v>55</v>
      </c>
      <c r="D7" s="75" t="s">
        <v>1483</v>
      </c>
      <c r="H7" s="12" t="str">
        <f>CONCATENATE("3F 05 00 0C 00 ",Table1[[#This Row],[Column2]])</f>
        <v>3F 05 00 0C 00 55</v>
      </c>
      <c r="I7" s="12"/>
      <c r="J7" s="12"/>
      <c r="K7" s="12"/>
      <c r="L7" s="12"/>
      <c r="M7" s="12"/>
      <c r="N7" s="12"/>
      <c r="O7" s="12"/>
      <c r="P7" s="12"/>
    </row>
    <row r="8" spans="1:16" x14ac:dyDescent="0.2">
      <c r="A8" s="12" t="s">
        <v>1489</v>
      </c>
      <c r="B8" s="12"/>
      <c r="C8" s="75">
        <v>58</v>
      </c>
      <c r="D8" s="75" t="s">
        <v>1484</v>
      </c>
      <c r="H8" s="12" t="str">
        <f>CONCATENATE("3F 05 00 0C 00 ",Table1[[#This Row],[Column2]])</f>
        <v>3F 05 00 0C 00 58</v>
      </c>
      <c r="I8" s="12"/>
      <c r="J8" s="12"/>
      <c r="K8" s="12"/>
      <c r="L8" s="12"/>
      <c r="M8" s="12"/>
      <c r="N8" s="12"/>
      <c r="O8" s="12"/>
      <c r="P8" s="12"/>
    </row>
    <row r="9" spans="1:16" x14ac:dyDescent="0.2">
      <c r="A9" s="12" t="s">
        <v>1490</v>
      </c>
      <c r="B9" s="12"/>
      <c r="C9" s="75">
        <v>57</v>
      </c>
      <c r="D9" s="75" t="s">
        <v>1485</v>
      </c>
      <c r="H9" s="12" t="str">
        <f>CONCATENATE("3F 05 00 0C 00 ",Table1[[#This Row],[Column2]])</f>
        <v>3F 05 00 0C 00 57</v>
      </c>
      <c r="I9" s="12"/>
      <c r="J9" s="12"/>
      <c r="K9" s="12"/>
      <c r="L9" s="12"/>
      <c r="M9" s="12"/>
      <c r="N9" s="12"/>
      <c r="O9" s="12"/>
      <c r="P9" s="12"/>
    </row>
    <row r="10" spans="1:16" x14ac:dyDescent="0.2">
      <c r="A10" s="12" t="s">
        <v>245</v>
      </c>
      <c r="B10" s="12"/>
      <c r="C10" t="str">
        <f>RIGHT(LEFT(A10,19),2)</f>
        <v>65</v>
      </c>
      <c r="D10" t="str">
        <f t="shared" si="0"/>
        <v>01100101</v>
      </c>
      <c r="H10" s="12" t="str">
        <f>CONCATENATE("3F 05 00 0C 00 ",Table1[[#This Row],[Column2]])</f>
        <v>3F 05 00 0C 00 65</v>
      </c>
      <c r="I10" s="12"/>
      <c r="J10" s="12"/>
      <c r="K10" s="12"/>
      <c r="L10" s="12"/>
      <c r="M10" s="12"/>
      <c r="N10" s="12"/>
      <c r="O10" s="12"/>
      <c r="P10" s="12"/>
    </row>
    <row r="11" spans="1:16" x14ac:dyDescent="0.2">
      <c r="A11" s="12" t="s">
        <v>1492</v>
      </c>
      <c r="B11" s="12"/>
      <c r="C11" t="str">
        <f>BIN2HEX(D11,2)</f>
        <v>64</v>
      </c>
      <c r="D11" s="75" t="s">
        <v>1493</v>
      </c>
      <c r="H11" s="12" t="str">
        <f>CONCATENATE("3F 05 00 0C 00 ",Table1[[#This Row],[Column2]])</f>
        <v>3F 05 00 0C 00 64</v>
      </c>
      <c r="I11" s="12"/>
      <c r="J11" s="12"/>
      <c r="K11" s="12"/>
      <c r="L11" s="12"/>
      <c r="M11" s="12"/>
      <c r="N11" s="12"/>
      <c r="O11" s="12"/>
      <c r="P11" s="12"/>
    </row>
    <row r="12" spans="1:16" x14ac:dyDescent="0.2">
      <c r="A12" s="12" t="s">
        <v>250</v>
      </c>
      <c r="B12" s="12"/>
      <c r="C12" t="str">
        <f>RIGHT(LEFT(A12,19),2)</f>
        <v>66</v>
      </c>
      <c r="D12" t="str">
        <f t="shared" si="0"/>
        <v>01100110</v>
      </c>
      <c r="H12" s="12" t="str">
        <f>CONCATENATE("3F 05 00 0C 00 ",Table1[[#This Row],[Column2]])</f>
        <v>3F 05 00 0C 00 66</v>
      </c>
      <c r="I12" s="12"/>
      <c r="J12" s="12"/>
      <c r="K12" s="12"/>
      <c r="L12" s="12"/>
      <c r="M12" s="12"/>
      <c r="N12" s="12"/>
      <c r="O12" s="12"/>
      <c r="P12" s="12"/>
    </row>
    <row r="13" spans="1:16" x14ac:dyDescent="0.2">
      <c r="A13" s="12" t="s">
        <v>1486</v>
      </c>
      <c r="B13" s="12"/>
      <c r="C13" t="str">
        <f>BIN2HEX(D13,2)</f>
        <v>67</v>
      </c>
      <c r="D13" s="75" t="s">
        <v>1491</v>
      </c>
      <c r="H13" s="12" t="str">
        <f>CONCATENATE("3F 05 00 0C 00 ",Table1[[#This Row],[Column2]])</f>
        <v>3F 05 00 0C 00 67</v>
      </c>
      <c r="I13" s="12"/>
      <c r="J13" s="12"/>
      <c r="K13" s="12"/>
      <c r="L13" s="12"/>
      <c r="M13" s="12"/>
      <c r="N13" s="12"/>
      <c r="O13" s="12"/>
      <c r="P13" s="12"/>
    </row>
    <row r="14" spans="1:16" x14ac:dyDescent="0.2">
      <c r="A14" s="12" t="s">
        <v>255</v>
      </c>
      <c r="B14" s="12"/>
      <c r="C14" t="str">
        <f>RIGHT(LEFT(A14,19),2)</f>
        <v>0B</v>
      </c>
      <c r="D14" t="str">
        <f t="shared" si="0"/>
        <v>00001011</v>
      </c>
      <c r="H14" s="12" t="str">
        <f>CONCATENATE("3F 05 00 0C 00 ",Table1[[#This Row],[Column2]])</f>
        <v>3F 05 00 0C 00 0B</v>
      </c>
      <c r="I14" s="12"/>
      <c r="J14" s="12"/>
      <c r="K14" s="12"/>
      <c r="L14" s="12"/>
      <c r="M14" s="12"/>
      <c r="N14" s="12"/>
      <c r="O14" s="12"/>
      <c r="P14" s="12"/>
    </row>
    <row r="15" spans="1:16" x14ac:dyDescent="0.2">
      <c r="A15" s="12" t="s">
        <v>256</v>
      </c>
      <c r="B15" s="12"/>
      <c r="C15" t="str">
        <f>RIGHT(LEFT(A15,19),2)</f>
        <v>40</v>
      </c>
      <c r="D15" t="str">
        <f t="shared" si="0"/>
        <v>01000000</v>
      </c>
      <c r="H15" s="12" t="str">
        <f>CONCATENATE("3F 05 00 0C 00 ",Table1[[#This Row],[Column2]])</f>
        <v>3F 05 00 0C 00 40</v>
      </c>
      <c r="I15" s="12"/>
      <c r="J15" s="12"/>
      <c r="K15" s="12"/>
      <c r="L15" s="12"/>
      <c r="M15" s="12"/>
      <c r="N15" s="12"/>
      <c r="O15" s="12"/>
      <c r="P15" s="12"/>
    </row>
    <row r="16" spans="1:16" x14ac:dyDescent="0.2">
      <c r="A16" s="12" t="s">
        <v>261</v>
      </c>
      <c r="B16" s="12"/>
      <c r="C16" t="str">
        <f>RIGHT(LEFT(A16,19),2)</f>
        <v>00</v>
      </c>
      <c r="D16" t="str">
        <f t="shared" si="0"/>
        <v>00000000</v>
      </c>
      <c r="H16" s="12" t="str">
        <f>CONCATENATE("3F 05 00 0C 00 ",Table1[[#This Row],[Column2]])</f>
        <v>3F 05 00 0C 00 00</v>
      </c>
      <c r="I16" s="12"/>
      <c r="J16" s="12"/>
      <c r="K16" s="12"/>
      <c r="L16" s="12"/>
      <c r="M16" s="12"/>
      <c r="N16" s="12"/>
      <c r="O16" s="12"/>
      <c r="P16" s="12"/>
    </row>
    <row r="17" spans="1:19" x14ac:dyDescent="0.2">
      <c r="A17" s="12" t="s">
        <v>266</v>
      </c>
      <c r="B17" s="12"/>
      <c r="C17" t="str">
        <f>RIGHT(LEFT(A17,19),2)</f>
        <v>01</v>
      </c>
      <c r="D17" t="str">
        <f t="shared" si="0"/>
        <v>00000001</v>
      </c>
      <c r="H17" s="12" t="str">
        <f>CONCATENATE("3F 05 00 0C 00 ",Table1[[#This Row],[Column2]])</f>
        <v>3F 05 00 0C 00 01</v>
      </c>
      <c r="I17" s="12"/>
      <c r="J17" s="12"/>
      <c r="K17" s="12"/>
      <c r="L17" s="12"/>
      <c r="M17" s="12"/>
      <c r="N17" s="12"/>
      <c r="O17" s="12"/>
      <c r="P17" s="12"/>
      <c r="Q17" s="78" t="s">
        <v>1521</v>
      </c>
      <c r="R17">
        <f>BIN2DEC(Q17)</f>
        <v>4</v>
      </c>
    </row>
    <row r="18" spans="1:19" x14ac:dyDescent="0.2">
      <c r="A18" s="12" t="s">
        <v>267</v>
      </c>
      <c r="B18" s="12"/>
      <c r="C18" t="str">
        <f>RIGHT(LEFT(A18,19),2)</f>
        <v>31</v>
      </c>
      <c r="D18" t="str">
        <f t="shared" si="0"/>
        <v>00110001</v>
      </c>
      <c r="H18" s="12" t="str">
        <f>CONCATENATE("3F 05 00 0C 00 ",Table1[[#This Row],[Column2]])</f>
        <v>3F 05 00 0C 00 31</v>
      </c>
      <c r="I18" s="12"/>
      <c r="J18" s="12"/>
      <c r="K18" s="12"/>
      <c r="L18" s="12"/>
      <c r="M18" s="12"/>
      <c r="N18" s="12"/>
      <c r="O18" s="12"/>
      <c r="P18" s="12"/>
    </row>
    <row r="19" spans="1:19" x14ac:dyDescent="0.2">
      <c r="A19" s="12" t="s">
        <v>272</v>
      </c>
      <c r="B19" s="12"/>
      <c r="C19" t="str">
        <f>RIGHT(LEFT(A19,19),2)</f>
        <v>30</v>
      </c>
      <c r="D19" t="str">
        <f t="shared" si="0"/>
        <v>00110000</v>
      </c>
      <c r="H19" s="12" t="str">
        <f>CONCATENATE("3F 05 00 0C 00 ",Table1[[#This Row],[Column2]])</f>
        <v>3F 05 00 0C 00 30</v>
      </c>
      <c r="I19" s="12"/>
      <c r="J19" s="12"/>
      <c r="K19" s="12"/>
      <c r="L19" s="12"/>
      <c r="M19" s="12"/>
      <c r="N19" s="12"/>
      <c r="O19" s="12"/>
      <c r="P19" s="12"/>
    </row>
    <row r="20" spans="1:19" x14ac:dyDescent="0.2">
      <c r="A20" s="12" t="s">
        <v>276</v>
      </c>
      <c r="B20" s="12"/>
      <c r="C20" t="str">
        <f>RIGHT(LEFT(A20,19),2)</f>
        <v>31</v>
      </c>
      <c r="D20" t="str">
        <f t="shared" si="0"/>
        <v>00110001</v>
      </c>
      <c r="H20" s="12" t="str">
        <f>CONCATENATE("3F 05 00 0C 00 ",Table1[[#This Row],[Column2]])</f>
        <v>3F 05 00 0C 00 31</v>
      </c>
      <c r="I20" s="12"/>
      <c r="J20" s="12"/>
      <c r="K20" s="12"/>
      <c r="L20" s="12"/>
      <c r="M20" s="12"/>
      <c r="N20" s="12"/>
      <c r="O20" s="12"/>
      <c r="P20" s="12"/>
    </row>
    <row r="21" spans="1:19" x14ac:dyDescent="0.2">
      <c r="A21" s="12" t="s">
        <v>280</v>
      </c>
      <c r="B21" s="12"/>
      <c r="C21" t="str">
        <f>RIGHT(LEFT(A21,19),2)</f>
        <v>30</v>
      </c>
      <c r="D21" t="str">
        <f t="shared" si="0"/>
        <v>00110000</v>
      </c>
      <c r="H21" s="12" t="str">
        <f>CONCATENATE("3F 05 00 0C 00 ",Table1[[#This Row],[Column2]])</f>
        <v>3F 05 00 0C 00 30</v>
      </c>
      <c r="I21" s="12"/>
      <c r="J21" s="12"/>
      <c r="K21" s="12"/>
      <c r="L21" s="12"/>
      <c r="M21" s="12"/>
      <c r="N21" s="12"/>
      <c r="O21" s="12"/>
      <c r="P21" s="12"/>
    </row>
    <row r="25" spans="1:19" x14ac:dyDescent="0.2">
      <c r="E25">
        <v>46</v>
      </c>
      <c r="F25" t="str">
        <f>CHAR(HEX2DEC(E25))</f>
        <v>F</v>
      </c>
    </row>
    <row r="26" spans="1:19" x14ac:dyDescent="0.2">
      <c r="E26">
        <v>45</v>
      </c>
      <c r="F26" t="str">
        <f>HEX2BIN(E26,8)</f>
        <v>01000101</v>
      </c>
    </row>
    <row r="27" spans="1:19" x14ac:dyDescent="0.2">
      <c r="F27" s="77" t="s">
        <v>1519</v>
      </c>
      <c r="G27" t="str">
        <f>BIN2HEX(SUBSTITUTE(F27," ",""),2)</f>
        <v>47</v>
      </c>
    </row>
    <row r="28" spans="1:19" x14ac:dyDescent="0.2">
      <c r="F28" s="77" t="s">
        <v>1522</v>
      </c>
      <c r="G28" t="str">
        <f>BIN2HEX(SUBSTITUTE(F28," ",""),2)</f>
        <v>55</v>
      </c>
    </row>
    <row r="29" spans="1:19" x14ac:dyDescent="0.2">
      <c r="F29" s="77" t="s">
        <v>1504</v>
      </c>
      <c r="G29" s="77" t="s">
        <v>1516</v>
      </c>
      <c r="H29" s="77" t="s">
        <v>1520</v>
      </c>
      <c r="K29" s="76" t="s">
        <v>1504</v>
      </c>
      <c r="P29" s="76" t="s">
        <v>1516</v>
      </c>
    </row>
    <row r="30" spans="1:19" x14ac:dyDescent="0.2">
      <c r="F30">
        <f>BIN2DEC(RIGHT(M30,6))</f>
        <v>1</v>
      </c>
      <c r="G30">
        <f>BIN2DEC(RIGHT(R30,6))</f>
        <v>5</v>
      </c>
      <c r="H30" t="str">
        <f>DEC2BIN(G30,6)</f>
        <v>000101</v>
      </c>
      <c r="K30" t="s">
        <v>1501</v>
      </c>
      <c r="L30">
        <v>41</v>
      </c>
      <c r="M30" t="str">
        <f>HEX2BIN(L30,8)</f>
        <v>01000001</v>
      </c>
      <c r="N30" t="str">
        <f t="shared" ref="N30:N33" si="2">CONCATENATE(LEFT(M30,2)," ",RIGHT(LEFT(M30,4),2)," ",RIGHT(LEFT(M30,6),2)," ",RIGHT(LEFT(M30,8),2)," ")</f>
        <v xml:space="preserve">01 00 00 01 </v>
      </c>
      <c r="P30" t="s">
        <v>1501</v>
      </c>
      <c r="Q30">
        <v>45</v>
      </c>
      <c r="R30" t="str">
        <f>HEX2BIN(Q30,8)</f>
        <v>01000101</v>
      </c>
      <c r="S30" t="str">
        <f t="shared" ref="S30:S33" si="3">CONCATENATE(LEFT(R30,2)," ",RIGHT(LEFT(R30,4),2)," ",RIGHT(LEFT(R30,6),2)," ",RIGHT(LEFT(R30,8),2)," ")</f>
        <v xml:space="preserve">01 00 01 01 </v>
      </c>
    </row>
    <row r="31" spans="1:19" x14ac:dyDescent="0.2">
      <c r="F31">
        <f t="shared" ref="F31:F37" si="4">BIN2DEC(RIGHT(M31,6))</f>
        <v>2</v>
      </c>
      <c r="G31">
        <f t="shared" ref="G31:G37" si="5">BIN2DEC(RIGHT(R31,6))</f>
        <v>4</v>
      </c>
      <c r="H31" t="str">
        <f t="shared" ref="H31:H37" si="6">DEC2BIN(G31,6)</f>
        <v>000100</v>
      </c>
      <c r="K31" t="s">
        <v>1500</v>
      </c>
      <c r="L31">
        <v>42</v>
      </c>
      <c r="M31" t="str">
        <f>HEX2BIN(L31,8)</f>
        <v>01000010</v>
      </c>
      <c r="N31" t="str">
        <f t="shared" si="2"/>
        <v xml:space="preserve">01 00 00 10 </v>
      </c>
      <c r="P31" t="s">
        <v>1500</v>
      </c>
      <c r="Q31">
        <v>44</v>
      </c>
      <c r="R31" t="str">
        <f>HEX2BIN(Q31,8)</f>
        <v>01000100</v>
      </c>
      <c r="S31" t="str">
        <f t="shared" si="3"/>
        <v xml:space="preserve">01 00 01 00 </v>
      </c>
    </row>
    <row r="32" spans="1:19" x14ac:dyDescent="0.2">
      <c r="F32">
        <f t="shared" si="4"/>
        <v>3</v>
      </c>
      <c r="G32">
        <f t="shared" si="5"/>
        <v>7</v>
      </c>
      <c r="H32" t="str">
        <f t="shared" si="6"/>
        <v>000111</v>
      </c>
      <c r="K32" t="s">
        <v>1511</v>
      </c>
      <c r="L32">
        <v>43</v>
      </c>
      <c r="M32" t="str">
        <f>HEX2BIN(L32,8)</f>
        <v>01000011</v>
      </c>
      <c r="N32" t="str">
        <f t="shared" si="2"/>
        <v xml:space="preserve">01 00 00 11 </v>
      </c>
      <c r="P32" t="s">
        <v>1511</v>
      </c>
      <c r="Q32">
        <v>47</v>
      </c>
      <c r="R32" t="str">
        <f>HEX2BIN(Q32,8)</f>
        <v>01000111</v>
      </c>
      <c r="S32" t="str">
        <f t="shared" si="3"/>
        <v xml:space="preserve">01 00 01 11 </v>
      </c>
    </row>
    <row r="33" spans="6:19" x14ac:dyDescent="0.2">
      <c r="F33">
        <f t="shared" si="4"/>
        <v>4</v>
      </c>
      <c r="G33">
        <f t="shared" si="5"/>
        <v>6</v>
      </c>
      <c r="H33" t="str">
        <f t="shared" si="6"/>
        <v>000110</v>
      </c>
      <c r="K33" t="s">
        <v>1512</v>
      </c>
      <c r="L33">
        <v>44</v>
      </c>
      <c r="M33" t="str">
        <f>HEX2BIN(L33,8)</f>
        <v>01000100</v>
      </c>
      <c r="N33" t="str">
        <f t="shared" si="2"/>
        <v xml:space="preserve">01 00 01 00 </v>
      </c>
      <c r="P33" t="s">
        <v>1512</v>
      </c>
      <c r="Q33">
        <v>46</v>
      </c>
      <c r="R33" t="str">
        <f>HEX2BIN(Q33,8)</f>
        <v>01000110</v>
      </c>
      <c r="S33" t="str">
        <f t="shared" si="3"/>
        <v xml:space="preserve">01 00 01 10 </v>
      </c>
    </row>
    <row r="34" spans="6:19" x14ac:dyDescent="0.2">
      <c r="F34">
        <f t="shared" si="4"/>
        <v>18</v>
      </c>
      <c r="G34">
        <f t="shared" si="5"/>
        <v>21</v>
      </c>
      <c r="H34" t="str">
        <f t="shared" si="6"/>
        <v>010101</v>
      </c>
      <c r="K34" t="s">
        <v>1502</v>
      </c>
      <c r="L34">
        <v>52</v>
      </c>
      <c r="M34" t="str">
        <f>HEX2BIN(L34,8)</f>
        <v>01010010</v>
      </c>
      <c r="N34" t="str">
        <f>CONCATENATE(LEFT(M34,2)," ",RIGHT(LEFT(M34,4),2)," ",RIGHT(LEFT(M34,6),2)," ",RIGHT(LEFT(M34,8),2)," ")</f>
        <v xml:space="preserve">01 01 00 10 </v>
      </c>
      <c r="P34" s="79" t="s">
        <v>1502</v>
      </c>
      <c r="Q34">
        <v>55</v>
      </c>
      <c r="R34" t="str">
        <f>HEX2BIN(Q34,8)</f>
        <v>01010101</v>
      </c>
      <c r="S34" t="str">
        <f>CONCATENATE(LEFT(R34,2)," ",RIGHT(LEFT(R34,4),2)," ",RIGHT(LEFT(R34,6),2)," ",RIGHT(LEFT(R34,8),2)," ")</f>
        <v xml:space="preserve">01 01 01 01 </v>
      </c>
    </row>
    <row r="35" spans="6:19" x14ac:dyDescent="0.2">
      <c r="F35">
        <f t="shared" si="4"/>
        <v>19</v>
      </c>
      <c r="G35">
        <f t="shared" si="5"/>
        <v>22</v>
      </c>
      <c r="H35" t="str">
        <f t="shared" si="6"/>
        <v>010110</v>
      </c>
      <c r="K35" t="s">
        <v>1503</v>
      </c>
      <c r="L35">
        <v>53</v>
      </c>
      <c r="M35" t="str">
        <f>HEX2BIN(L35,8)</f>
        <v>01010011</v>
      </c>
      <c r="N35" t="str">
        <f t="shared" ref="N35:N37" si="7">CONCATENATE(LEFT(M35,2)," ",RIGHT(LEFT(M35,4),2)," ",RIGHT(LEFT(M35,6),2)," ",RIGHT(LEFT(M35,8),2)," ")</f>
        <v xml:space="preserve">01 01 00 11 </v>
      </c>
      <c r="P35" s="79" t="s">
        <v>1503</v>
      </c>
      <c r="Q35">
        <v>56</v>
      </c>
      <c r="R35" t="str">
        <f>HEX2BIN(Q35,8)</f>
        <v>01010110</v>
      </c>
      <c r="S35" t="str">
        <f t="shared" ref="S35:S37" si="8">CONCATENATE(LEFT(R35,2)," ",RIGHT(LEFT(R35,4),2)," ",RIGHT(LEFT(R35,6),2)," ",RIGHT(LEFT(R35,8),2)," ")</f>
        <v xml:space="preserve">01 01 01 10 </v>
      </c>
    </row>
    <row r="36" spans="6:19" x14ac:dyDescent="0.2">
      <c r="F36">
        <f t="shared" si="4"/>
        <v>20</v>
      </c>
      <c r="G36">
        <f t="shared" si="5"/>
        <v>23</v>
      </c>
      <c r="H36" t="str">
        <f t="shared" si="6"/>
        <v>010111</v>
      </c>
      <c r="K36" t="s">
        <v>1509</v>
      </c>
      <c r="L36">
        <v>54</v>
      </c>
      <c r="M36" t="str">
        <f>HEX2BIN(L36,8)</f>
        <v>01010100</v>
      </c>
      <c r="N36" t="str">
        <f t="shared" si="7"/>
        <v xml:space="preserve">01 01 01 00 </v>
      </c>
      <c r="P36" t="s">
        <v>1509</v>
      </c>
      <c r="Q36">
        <v>57</v>
      </c>
      <c r="R36" t="str">
        <f>HEX2BIN(Q36,8)</f>
        <v>01010111</v>
      </c>
      <c r="S36" t="str">
        <f t="shared" si="8"/>
        <v xml:space="preserve">01 01 01 11 </v>
      </c>
    </row>
    <row r="37" spans="6:19" x14ac:dyDescent="0.2">
      <c r="F37">
        <f t="shared" si="4"/>
        <v>21</v>
      </c>
      <c r="G37">
        <f t="shared" si="5"/>
        <v>24</v>
      </c>
      <c r="H37" t="str">
        <f t="shared" si="6"/>
        <v>011000</v>
      </c>
      <c r="K37" t="s">
        <v>1510</v>
      </c>
      <c r="L37">
        <v>55</v>
      </c>
      <c r="M37" t="str">
        <f>HEX2BIN(L37,8)</f>
        <v>01010101</v>
      </c>
      <c r="N37" t="str">
        <f t="shared" si="7"/>
        <v xml:space="preserve">01 01 01 01 </v>
      </c>
      <c r="P37" t="s">
        <v>1510</v>
      </c>
      <c r="Q37">
        <v>58</v>
      </c>
      <c r="R37" t="str">
        <f>HEX2BIN(Q37,8)</f>
        <v>01011000</v>
      </c>
      <c r="S37" t="str">
        <f t="shared" si="8"/>
        <v xml:space="preserve">01 01 10 00 </v>
      </c>
    </row>
    <row r="38" spans="6:19" x14ac:dyDescent="0.2">
      <c r="K38" s="77" t="s">
        <v>1517</v>
      </c>
      <c r="P38" s="77" t="s">
        <v>1517</v>
      </c>
    </row>
    <row r="39" spans="6:19" x14ac:dyDescent="0.2">
      <c r="K39" t="s">
        <v>1505</v>
      </c>
      <c r="L39" s="75" t="s">
        <v>15</v>
      </c>
      <c r="P39" t="s">
        <v>1505</v>
      </c>
      <c r="Q39" s="78" t="s">
        <v>15</v>
      </c>
    </row>
    <row r="40" spans="6:19" x14ac:dyDescent="0.2">
      <c r="K40" t="s">
        <v>1506</v>
      </c>
      <c r="L40" s="75" t="s">
        <v>1513</v>
      </c>
      <c r="P40" t="s">
        <v>1506</v>
      </c>
      <c r="Q40" s="78" t="s">
        <v>1518</v>
      </c>
    </row>
    <row r="41" spans="6:19" x14ac:dyDescent="0.2">
      <c r="K41" t="s">
        <v>1507</v>
      </c>
      <c r="L41" s="75" t="s">
        <v>1514</v>
      </c>
      <c r="P41" t="s">
        <v>1507</v>
      </c>
      <c r="Q41" s="75"/>
    </row>
    <row r="42" spans="6:19" x14ac:dyDescent="0.2">
      <c r="K42" t="s">
        <v>1508</v>
      </c>
      <c r="L42" s="75" t="s">
        <v>1515</v>
      </c>
      <c r="P42" t="s">
        <v>1508</v>
      </c>
      <c r="Q42" s="75"/>
    </row>
    <row r="43" spans="6:19" x14ac:dyDescent="0.2">
      <c r="L43" s="75"/>
    </row>
    <row r="44" spans="6:19" x14ac:dyDescent="0.2">
      <c r="L44" s="75"/>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4"/>
  <sheetViews>
    <sheetView workbookViewId="0"/>
  </sheetViews>
  <sheetFormatPr defaultColWidth="17.28515625" defaultRowHeight="15" customHeight="1" x14ac:dyDescent="0.2"/>
  <cols>
    <col min="1" max="1" width="31.140625" customWidth="1"/>
    <col min="2" max="2" width="2.28515625" customWidth="1"/>
    <col min="3" max="3" width="18.7109375" customWidth="1"/>
    <col min="4" max="4" width="10.140625" customWidth="1"/>
    <col min="5" max="5" width="21.42578125" customWidth="1"/>
    <col min="6" max="9" width="8" customWidth="1"/>
    <col min="10" max="10" width="16.85546875" customWidth="1"/>
    <col min="11" max="11" width="8" customWidth="1"/>
  </cols>
  <sheetData>
    <row r="1" spans="1:10" ht="12.75" customHeight="1" x14ac:dyDescent="0.2">
      <c r="A1" s="74" t="s">
        <v>915</v>
      </c>
      <c r="B1" s="74"/>
      <c r="C1" s="1"/>
      <c r="D1" s="1"/>
      <c r="E1" s="1"/>
      <c r="J1" s="1"/>
    </row>
    <row r="2" spans="1:10" ht="12.75" customHeight="1" x14ac:dyDescent="0.2">
      <c r="A2" s="1"/>
      <c r="B2" s="1"/>
      <c r="C2" s="1"/>
      <c r="D2" s="1"/>
      <c r="E2" s="1"/>
      <c r="J2" s="1"/>
    </row>
    <row r="3" spans="1:10" ht="12.75" customHeight="1" x14ac:dyDescent="0.2">
      <c r="A3" s="1"/>
      <c r="B3" s="1"/>
      <c r="C3" s="1"/>
      <c r="D3" s="1"/>
      <c r="E3" s="1"/>
      <c r="J3" s="1"/>
    </row>
    <row r="4" spans="1:10" ht="12.75" customHeight="1" x14ac:dyDescent="0.2">
      <c r="A4" s="58" t="s">
        <v>64</v>
      </c>
      <c r="B4" s="58"/>
      <c r="C4" s="1" t="s">
        <v>916</v>
      </c>
      <c r="D4" s="1" t="s">
        <v>64</v>
      </c>
      <c r="E4" s="1" t="s">
        <v>917</v>
      </c>
      <c r="J4" s="1"/>
    </row>
    <row r="5" spans="1:10" ht="12.75" customHeight="1" x14ac:dyDescent="0.2">
      <c r="A5" s="58" t="s">
        <v>918</v>
      </c>
      <c r="B5" s="58"/>
      <c r="C5" s="1" t="s">
        <v>919</v>
      </c>
      <c r="D5" s="1" t="s">
        <v>920</v>
      </c>
      <c r="E5" s="1" t="s">
        <v>921</v>
      </c>
      <c r="J5" s="1"/>
    </row>
    <row r="6" spans="1:10" ht="12.75" customHeight="1" x14ac:dyDescent="0.2">
      <c r="A6" s="58" t="s">
        <v>922</v>
      </c>
      <c r="B6" s="58"/>
      <c r="C6" s="1" t="s">
        <v>919</v>
      </c>
      <c r="D6" s="1" t="s">
        <v>923</v>
      </c>
      <c r="E6" s="1" t="s">
        <v>924</v>
      </c>
      <c r="J6" s="1"/>
    </row>
    <row r="7" spans="1:10" ht="12.75" customHeight="1" x14ac:dyDescent="0.2">
      <c r="A7" s="58" t="s">
        <v>925</v>
      </c>
      <c r="B7" s="58"/>
      <c r="C7" s="1" t="s">
        <v>919</v>
      </c>
      <c r="D7" s="1" t="s">
        <v>926</v>
      </c>
      <c r="E7" s="1"/>
      <c r="J7" s="1"/>
    </row>
    <row r="8" spans="1:10" ht="12.75" customHeight="1" x14ac:dyDescent="0.2">
      <c r="A8" s="58" t="s">
        <v>927</v>
      </c>
      <c r="B8" s="58"/>
      <c r="C8" s="1" t="s">
        <v>919</v>
      </c>
      <c r="D8" s="1" t="s">
        <v>928</v>
      </c>
      <c r="E8" s="1" t="s">
        <v>929</v>
      </c>
      <c r="J8" s="1"/>
    </row>
    <row r="9" spans="1:10" ht="12.75" customHeight="1" x14ac:dyDescent="0.2">
      <c r="A9" s="58" t="s">
        <v>930</v>
      </c>
      <c r="B9" s="58"/>
      <c r="C9" s="1" t="s">
        <v>919</v>
      </c>
      <c r="D9" s="1" t="s">
        <v>931</v>
      </c>
      <c r="E9" s="1"/>
      <c r="J9" s="1"/>
    </row>
    <row r="10" spans="1:10" ht="12.75" customHeight="1" x14ac:dyDescent="0.2">
      <c r="A10" s="58" t="s">
        <v>932</v>
      </c>
      <c r="B10" s="58"/>
      <c r="C10" s="1" t="s">
        <v>919</v>
      </c>
      <c r="D10" s="1" t="s">
        <v>933</v>
      </c>
      <c r="E10" s="1"/>
      <c r="J10" s="1"/>
    </row>
    <row r="11" spans="1:10" ht="12.75" customHeight="1" x14ac:dyDescent="0.2">
      <c r="A11" s="58" t="s">
        <v>934</v>
      </c>
      <c r="B11" s="58"/>
      <c r="C11" s="1" t="s">
        <v>919</v>
      </c>
      <c r="D11" s="1" t="s">
        <v>935</v>
      </c>
      <c r="E11" s="1" t="s">
        <v>936</v>
      </c>
      <c r="J11" s="1"/>
    </row>
    <row r="12" spans="1:10" ht="12.75" customHeight="1" x14ac:dyDescent="0.2">
      <c r="A12" s="58" t="s">
        <v>937</v>
      </c>
      <c r="B12" s="58"/>
      <c r="C12" s="1" t="s">
        <v>919</v>
      </c>
      <c r="D12" s="1" t="s">
        <v>938</v>
      </c>
      <c r="E12" s="1" t="s">
        <v>939</v>
      </c>
      <c r="J12" s="1"/>
    </row>
    <row r="13" spans="1:10" ht="12.75" customHeight="1" x14ac:dyDescent="0.2">
      <c r="A13" s="58" t="s">
        <v>940</v>
      </c>
      <c r="B13" s="58"/>
      <c r="C13" s="1" t="s">
        <v>919</v>
      </c>
      <c r="D13" s="1" t="s">
        <v>941</v>
      </c>
      <c r="E13" s="1"/>
      <c r="J13" s="1"/>
    </row>
    <row r="14" spans="1:10" ht="12.75" customHeight="1" x14ac:dyDescent="0.2">
      <c r="A14" s="58" t="s">
        <v>942</v>
      </c>
      <c r="B14" s="58"/>
      <c r="C14" s="1" t="s">
        <v>919</v>
      </c>
      <c r="D14" s="1" t="s">
        <v>943</v>
      </c>
      <c r="E14" s="1"/>
      <c r="J14" s="1"/>
    </row>
    <row r="15" spans="1:10" ht="12.75" customHeight="1" x14ac:dyDescent="0.2">
      <c r="A15" s="58" t="s">
        <v>136</v>
      </c>
      <c r="B15" s="58"/>
      <c r="C15" s="1" t="s">
        <v>919</v>
      </c>
      <c r="D15" s="1" t="s">
        <v>944</v>
      </c>
      <c r="E15" s="1"/>
      <c r="J15" s="1"/>
    </row>
    <row r="16" spans="1:10" ht="12.75" customHeight="1" x14ac:dyDescent="0.2">
      <c r="A16" s="58" t="s">
        <v>34</v>
      </c>
      <c r="B16" s="58"/>
      <c r="C16" s="1" t="s">
        <v>919</v>
      </c>
      <c r="D16" s="1" t="s">
        <v>945</v>
      </c>
      <c r="E16" s="1"/>
      <c r="J16" s="1"/>
    </row>
    <row r="17" spans="1:11" ht="12.75" customHeight="1" x14ac:dyDescent="0.2">
      <c r="A17" s="58" t="s">
        <v>946</v>
      </c>
      <c r="B17" s="58"/>
      <c r="C17" s="1" t="s">
        <v>919</v>
      </c>
      <c r="D17" s="1" t="s">
        <v>947</v>
      </c>
      <c r="E17" s="1"/>
      <c r="J17" s="1"/>
    </row>
    <row r="18" spans="1:11" ht="12.75" customHeight="1" x14ac:dyDescent="0.2">
      <c r="A18" s="1"/>
      <c r="B18" s="1"/>
      <c r="C18" s="1"/>
      <c r="D18" s="1"/>
      <c r="E18" s="1"/>
      <c r="J18" s="1"/>
    </row>
    <row r="19" spans="1:11" ht="12.75" customHeight="1" x14ac:dyDescent="0.2">
      <c r="A19" s="1"/>
      <c r="B19" s="1"/>
      <c r="C19" s="1"/>
      <c r="D19" s="1"/>
      <c r="E19" s="1"/>
      <c r="J19" s="1"/>
    </row>
    <row r="20" spans="1:11" ht="12.75" customHeight="1" x14ac:dyDescent="0.2">
      <c r="A20" s="1"/>
      <c r="B20" s="1"/>
      <c r="C20" s="1"/>
      <c r="D20" s="1"/>
      <c r="E20" s="1"/>
      <c r="J20" s="1"/>
    </row>
    <row r="21" spans="1:11" ht="12.75" customHeight="1" x14ac:dyDescent="0.2">
      <c r="A21" s="58" t="s">
        <v>64</v>
      </c>
      <c r="B21" s="58"/>
      <c r="C21" s="1" t="s">
        <v>948</v>
      </c>
      <c r="D21" s="12" t="s">
        <v>949</v>
      </c>
      <c r="E21" s="1"/>
      <c r="H21" s="58" t="s">
        <v>922</v>
      </c>
      <c r="I21" s="58"/>
      <c r="J21" s="1" t="s">
        <v>950</v>
      </c>
    </row>
    <row r="22" spans="1:11" ht="12.75" customHeight="1" x14ac:dyDescent="0.2">
      <c r="A22" s="58" t="s">
        <v>918</v>
      </c>
      <c r="B22" s="58"/>
      <c r="C22" s="1" t="s">
        <v>951</v>
      </c>
      <c r="D22" s="1"/>
      <c r="E22" s="1"/>
      <c r="H22" s="58" t="s">
        <v>918</v>
      </c>
      <c r="I22" s="58"/>
      <c r="J22" s="1" t="s">
        <v>951</v>
      </c>
    </row>
    <row r="23" spans="1:11" ht="12.75" customHeight="1" x14ac:dyDescent="0.2">
      <c r="A23" s="58" t="s">
        <v>922</v>
      </c>
      <c r="B23" s="58"/>
      <c r="C23" s="1" t="s">
        <v>950</v>
      </c>
      <c r="D23" s="1"/>
      <c r="E23" s="1"/>
      <c r="J23" s="1"/>
    </row>
    <row r="24" spans="1:11" ht="12.75" customHeight="1" x14ac:dyDescent="0.2">
      <c r="A24" s="58"/>
      <c r="B24" s="58"/>
      <c r="C24" s="1"/>
      <c r="D24" s="1"/>
      <c r="E24" s="1"/>
      <c r="H24" s="58" t="s">
        <v>952</v>
      </c>
      <c r="I24" s="58"/>
      <c r="J24" s="1" t="s">
        <v>953</v>
      </c>
      <c r="K24" s="1" t="s">
        <v>954</v>
      </c>
    </row>
    <row r="25" spans="1:11" ht="12.75" customHeight="1" x14ac:dyDescent="0.2">
      <c r="A25" s="58" t="s">
        <v>952</v>
      </c>
      <c r="B25" s="58"/>
      <c r="C25" s="1" t="s">
        <v>953</v>
      </c>
      <c r="D25" s="1"/>
      <c r="E25" s="1"/>
      <c r="H25" s="58" t="s">
        <v>955</v>
      </c>
      <c r="I25" s="58"/>
      <c r="J25" s="1" t="s">
        <v>956</v>
      </c>
      <c r="K25" s="1" t="s">
        <v>957</v>
      </c>
    </row>
    <row r="26" spans="1:11" ht="12.75" customHeight="1" x14ac:dyDescent="0.2">
      <c r="A26" s="58" t="s">
        <v>958</v>
      </c>
      <c r="B26" s="58"/>
      <c r="C26" s="1" t="s">
        <v>959</v>
      </c>
      <c r="D26" s="1"/>
      <c r="E26" s="1"/>
      <c r="H26" s="58" t="s">
        <v>958</v>
      </c>
      <c r="I26" s="58"/>
      <c r="J26" s="1" t="s">
        <v>959</v>
      </c>
      <c r="K26" s="1" t="s">
        <v>960</v>
      </c>
    </row>
    <row r="27" spans="1:11" ht="12.75" customHeight="1" x14ac:dyDescent="0.2">
      <c r="A27" s="58" t="s">
        <v>961</v>
      </c>
      <c r="B27" s="58"/>
      <c r="C27" s="1" t="s">
        <v>962</v>
      </c>
      <c r="D27" s="1"/>
      <c r="E27" s="1"/>
      <c r="H27" s="58" t="s">
        <v>963</v>
      </c>
      <c r="I27" s="58"/>
      <c r="J27" s="1" t="s">
        <v>964</v>
      </c>
      <c r="K27" s="1" t="s">
        <v>112</v>
      </c>
    </row>
    <row r="28" spans="1:11" ht="12.75" customHeight="1" x14ac:dyDescent="0.2">
      <c r="A28" s="58" t="s">
        <v>955</v>
      </c>
      <c r="B28" s="58"/>
      <c r="C28" s="1" t="s">
        <v>956</v>
      </c>
      <c r="D28" s="1"/>
      <c r="E28" s="1"/>
      <c r="H28" s="58" t="s">
        <v>961</v>
      </c>
      <c r="I28" s="58"/>
      <c r="J28" s="1" t="s">
        <v>962</v>
      </c>
    </row>
    <row r="29" spans="1:11" ht="12.75" customHeight="1" x14ac:dyDescent="0.2">
      <c r="A29" s="58" t="s">
        <v>963</v>
      </c>
      <c r="B29" s="58"/>
      <c r="C29" s="1" t="s">
        <v>964</v>
      </c>
      <c r="D29" s="1"/>
      <c r="E29" s="1"/>
      <c r="H29" s="58" t="s">
        <v>965</v>
      </c>
      <c r="I29" s="58"/>
      <c r="J29" s="1" t="s">
        <v>966</v>
      </c>
    </row>
    <row r="30" spans="1:11" ht="12.75" customHeight="1" x14ac:dyDescent="0.2">
      <c r="A30" s="58" t="s">
        <v>965</v>
      </c>
      <c r="B30" s="58"/>
      <c r="C30" s="1" t="s">
        <v>966</v>
      </c>
      <c r="D30" s="1"/>
      <c r="E30" s="1"/>
      <c r="J30" s="1"/>
    </row>
    <row r="31" spans="1:11" ht="12.75" customHeight="1" x14ac:dyDescent="0.2">
      <c r="A31" s="58" t="s">
        <v>967</v>
      </c>
      <c r="B31" s="58"/>
      <c r="C31" s="1" t="s">
        <v>968</v>
      </c>
      <c r="D31" s="1"/>
      <c r="E31" s="1"/>
      <c r="H31" s="58" t="s">
        <v>967</v>
      </c>
      <c r="I31" s="58"/>
      <c r="J31" s="1" t="s">
        <v>968</v>
      </c>
    </row>
    <row r="32" spans="1:11" ht="12.75" customHeight="1" x14ac:dyDescent="0.2">
      <c r="A32" s="58" t="s">
        <v>969</v>
      </c>
      <c r="B32" s="58"/>
      <c r="C32" s="1" t="s">
        <v>970</v>
      </c>
      <c r="D32" s="1"/>
      <c r="E32" s="1"/>
      <c r="H32" s="58" t="s">
        <v>969</v>
      </c>
      <c r="I32" s="58"/>
      <c r="J32" s="1" t="s">
        <v>970</v>
      </c>
    </row>
    <row r="33" spans="1:10" ht="12.75" customHeight="1" x14ac:dyDescent="0.2">
      <c r="A33" s="58" t="s">
        <v>971</v>
      </c>
      <c r="B33" s="58"/>
      <c r="C33" s="1" t="s">
        <v>972</v>
      </c>
      <c r="D33" s="1"/>
      <c r="E33" s="1"/>
      <c r="H33" s="58" t="s">
        <v>971</v>
      </c>
      <c r="I33" s="58"/>
      <c r="J33" s="1" t="s">
        <v>972</v>
      </c>
    </row>
    <row r="34" spans="1:10" ht="12.75" customHeight="1" x14ac:dyDescent="0.2">
      <c r="A34" s="58" t="s">
        <v>973</v>
      </c>
      <c r="B34" s="58"/>
      <c r="C34" s="1" t="s">
        <v>974</v>
      </c>
      <c r="D34" s="1"/>
      <c r="E34" s="1"/>
      <c r="H34" s="58" t="s">
        <v>973</v>
      </c>
      <c r="I34" s="58"/>
      <c r="J34" s="1" t="s">
        <v>974</v>
      </c>
    </row>
  </sheetData>
  <hyperlinks>
    <hyperlink ref="A1" r:id="rId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8"/>
  <sheetViews>
    <sheetView workbookViewId="0"/>
  </sheetViews>
  <sheetFormatPr defaultColWidth="17.28515625" defaultRowHeight="15" customHeight="1" x14ac:dyDescent="0.2"/>
  <cols>
    <col min="1" max="1" width="29.140625" customWidth="1"/>
    <col min="2" max="2" width="8" customWidth="1"/>
    <col min="3" max="3" width="32.5703125" customWidth="1"/>
    <col min="4" max="6" width="8" customWidth="1"/>
  </cols>
  <sheetData>
    <row r="1" spans="1:3" ht="12.75" customHeight="1" x14ac:dyDescent="0.2">
      <c r="A1" s="1" t="s">
        <v>975</v>
      </c>
      <c r="C1" s="1"/>
    </row>
    <row r="2" spans="1:3" ht="12.75" customHeight="1" x14ac:dyDescent="0.2">
      <c r="A2" s="1"/>
      <c r="C2" s="1"/>
    </row>
    <row r="3" spans="1:3" ht="12.75" customHeight="1" x14ac:dyDescent="0.2">
      <c r="A3" s="1" t="s">
        <v>976</v>
      </c>
      <c r="B3" s="1" t="str">
        <f t="shared" ref="B3:B258" si="0">LEFT(RIGHT(A3,5),2)</f>
        <v>00</v>
      </c>
      <c r="C3" s="1" t="s">
        <v>977</v>
      </c>
    </row>
    <row r="4" spans="1:3" ht="12.75" customHeight="1" x14ac:dyDescent="0.2">
      <c r="A4" s="1" t="s">
        <v>978</v>
      </c>
      <c r="B4" s="1" t="str">
        <f t="shared" si="0"/>
        <v>01</v>
      </c>
      <c r="C4" s="1" t="s">
        <v>979</v>
      </c>
    </row>
    <row r="5" spans="1:3" ht="12.75" customHeight="1" x14ac:dyDescent="0.2">
      <c r="A5" s="1" t="s">
        <v>980</v>
      </c>
      <c r="B5" s="1" t="str">
        <f t="shared" si="0"/>
        <v>02</v>
      </c>
      <c r="C5" s="1" t="s">
        <v>981</v>
      </c>
    </row>
    <row r="6" spans="1:3" ht="12.75" customHeight="1" x14ac:dyDescent="0.2">
      <c r="A6" s="1" t="s">
        <v>982</v>
      </c>
      <c r="B6" s="1" t="str">
        <f t="shared" si="0"/>
        <v>03</v>
      </c>
      <c r="C6" s="1" t="s">
        <v>983</v>
      </c>
    </row>
    <row r="7" spans="1:3" ht="12.75" customHeight="1" x14ac:dyDescent="0.2">
      <c r="A7" s="1" t="s">
        <v>984</v>
      </c>
      <c r="B7" s="1" t="str">
        <f t="shared" si="0"/>
        <v>04</v>
      </c>
      <c r="C7" s="1" t="s">
        <v>985</v>
      </c>
    </row>
    <row r="8" spans="1:3" ht="12.75" customHeight="1" x14ac:dyDescent="0.2">
      <c r="A8" s="1" t="s">
        <v>986</v>
      </c>
      <c r="B8" s="1" t="str">
        <f t="shared" si="0"/>
        <v>05</v>
      </c>
      <c r="C8" s="1" t="s">
        <v>987</v>
      </c>
    </row>
    <row r="9" spans="1:3" ht="12.75" customHeight="1" x14ac:dyDescent="0.2">
      <c r="A9" s="1" t="s">
        <v>988</v>
      </c>
      <c r="B9" s="1" t="str">
        <f t="shared" si="0"/>
        <v>06</v>
      </c>
      <c r="C9" s="1" t="s">
        <v>989</v>
      </c>
    </row>
    <row r="10" spans="1:3" ht="12.75" customHeight="1" x14ac:dyDescent="0.2">
      <c r="A10" s="1" t="s">
        <v>990</v>
      </c>
      <c r="B10" s="1" t="str">
        <f t="shared" si="0"/>
        <v>07</v>
      </c>
      <c r="C10" s="1" t="s">
        <v>991</v>
      </c>
    </row>
    <row r="11" spans="1:3" ht="12.75" customHeight="1" x14ac:dyDescent="0.2">
      <c r="A11" s="1" t="s">
        <v>992</v>
      </c>
      <c r="B11" s="1" t="str">
        <f t="shared" si="0"/>
        <v>08</v>
      </c>
      <c r="C11" s="1" t="s">
        <v>993</v>
      </c>
    </row>
    <row r="12" spans="1:3" ht="12.75" customHeight="1" x14ac:dyDescent="0.2">
      <c r="A12" s="1" t="s">
        <v>994</v>
      </c>
      <c r="B12" s="1" t="str">
        <f t="shared" si="0"/>
        <v>09</v>
      </c>
      <c r="C12" s="1" t="s">
        <v>995</v>
      </c>
    </row>
    <row r="13" spans="1:3" ht="12.75" customHeight="1" x14ac:dyDescent="0.2">
      <c r="A13" s="1" t="s">
        <v>996</v>
      </c>
      <c r="B13" s="1" t="str">
        <f t="shared" si="0"/>
        <v>0A</v>
      </c>
      <c r="C13" s="1" t="s">
        <v>997</v>
      </c>
    </row>
    <row r="14" spans="1:3" ht="12.75" customHeight="1" x14ac:dyDescent="0.2">
      <c r="A14" s="1" t="s">
        <v>998</v>
      </c>
      <c r="B14" s="1" t="str">
        <f t="shared" si="0"/>
        <v>0B</v>
      </c>
      <c r="C14" s="1" t="s">
        <v>999</v>
      </c>
    </row>
    <row r="15" spans="1:3" ht="12.75" customHeight="1" x14ac:dyDescent="0.2">
      <c r="A15" s="1" t="s">
        <v>1000</v>
      </c>
      <c r="B15" s="1" t="str">
        <f t="shared" si="0"/>
        <v>0C</v>
      </c>
      <c r="C15" s="1" t="s">
        <v>1001</v>
      </c>
    </row>
    <row r="16" spans="1:3" ht="12.75" customHeight="1" x14ac:dyDescent="0.2">
      <c r="A16" s="1" t="s">
        <v>1002</v>
      </c>
      <c r="B16" s="1" t="str">
        <f t="shared" si="0"/>
        <v>0D</v>
      </c>
      <c r="C16" s="1" t="s">
        <v>1003</v>
      </c>
    </row>
    <row r="17" spans="1:3" ht="12.75" customHeight="1" x14ac:dyDescent="0.2">
      <c r="A17" s="1" t="s">
        <v>1004</v>
      </c>
      <c r="B17" s="1" t="str">
        <f t="shared" si="0"/>
        <v>0E</v>
      </c>
      <c r="C17" s="1" t="s">
        <v>1005</v>
      </c>
    </row>
    <row r="18" spans="1:3" ht="12.75" customHeight="1" x14ac:dyDescent="0.2">
      <c r="A18" s="1" t="s">
        <v>1006</v>
      </c>
      <c r="B18" s="1" t="str">
        <f t="shared" si="0"/>
        <v>0F</v>
      </c>
      <c r="C18" s="1" t="s">
        <v>1007</v>
      </c>
    </row>
    <row r="19" spans="1:3" ht="12.75" customHeight="1" x14ac:dyDescent="0.2">
      <c r="A19" s="1" t="s">
        <v>1008</v>
      </c>
      <c r="B19" s="1" t="str">
        <f t="shared" si="0"/>
        <v>10</v>
      </c>
      <c r="C19" s="1" t="s">
        <v>1009</v>
      </c>
    </row>
    <row r="20" spans="1:3" ht="12.75" customHeight="1" x14ac:dyDescent="0.2">
      <c r="A20" s="1" t="s">
        <v>1010</v>
      </c>
      <c r="B20" s="1" t="str">
        <f t="shared" si="0"/>
        <v>11</v>
      </c>
      <c r="C20" s="1" t="s">
        <v>484</v>
      </c>
    </row>
    <row r="21" spans="1:3" ht="12.75" customHeight="1" x14ac:dyDescent="0.2">
      <c r="A21" s="1" t="s">
        <v>1011</v>
      </c>
      <c r="B21" s="1" t="str">
        <f t="shared" si="0"/>
        <v>12</v>
      </c>
      <c r="C21" s="1" t="s">
        <v>1012</v>
      </c>
    </row>
    <row r="22" spans="1:3" ht="12.75" customHeight="1" x14ac:dyDescent="0.2">
      <c r="A22" s="1" t="s">
        <v>1013</v>
      </c>
      <c r="B22" s="1" t="str">
        <f t="shared" si="0"/>
        <v>13</v>
      </c>
      <c r="C22" s="1" t="s">
        <v>489</v>
      </c>
    </row>
    <row r="23" spans="1:3" ht="12.75" customHeight="1" x14ac:dyDescent="0.2">
      <c r="A23" s="1" t="s">
        <v>1014</v>
      </c>
      <c r="B23" s="1" t="str">
        <f t="shared" si="0"/>
        <v>14</v>
      </c>
      <c r="C23" s="1" t="s">
        <v>1015</v>
      </c>
    </row>
    <row r="24" spans="1:3" ht="12.75" customHeight="1" x14ac:dyDescent="0.2">
      <c r="A24" s="1" t="s">
        <v>1016</v>
      </c>
      <c r="B24" s="1" t="str">
        <f t="shared" si="0"/>
        <v>15</v>
      </c>
      <c r="C24" s="1" t="s">
        <v>1017</v>
      </c>
    </row>
    <row r="25" spans="1:3" ht="12.75" customHeight="1" x14ac:dyDescent="0.2">
      <c r="A25" s="1" t="s">
        <v>1018</v>
      </c>
      <c r="B25" s="1" t="str">
        <f t="shared" si="0"/>
        <v>16</v>
      </c>
      <c r="C25" s="1" t="s">
        <v>1019</v>
      </c>
    </row>
    <row r="26" spans="1:3" ht="12.75" customHeight="1" x14ac:dyDescent="0.2">
      <c r="A26" s="1" t="s">
        <v>1020</v>
      </c>
      <c r="B26" s="1" t="str">
        <f t="shared" si="0"/>
        <v>17</v>
      </c>
      <c r="C26" s="1" t="s">
        <v>1021</v>
      </c>
    </row>
    <row r="27" spans="1:3" ht="12.75" customHeight="1" x14ac:dyDescent="0.2">
      <c r="A27" s="1" t="s">
        <v>1022</v>
      </c>
      <c r="B27" s="1" t="str">
        <f t="shared" si="0"/>
        <v>18</v>
      </c>
      <c r="C27" s="1" t="s">
        <v>1023</v>
      </c>
    </row>
    <row r="28" spans="1:3" ht="12.75" customHeight="1" x14ac:dyDescent="0.2">
      <c r="A28" s="1" t="s">
        <v>1024</v>
      </c>
      <c r="B28" s="1" t="str">
        <f t="shared" si="0"/>
        <v>19</v>
      </c>
      <c r="C28" s="1" t="s">
        <v>1025</v>
      </c>
    </row>
    <row r="29" spans="1:3" ht="12.75" customHeight="1" x14ac:dyDescent="0.2">
      <c r="A29" s="1" t="s">
        <v>1026</v>
      </c>
      <c r="B29" s="1" t="str">
        <f t="shared" si="0"/>
        <v>1A</v>
      </c>
      <c r="C29" s="1" t="s">
        <v>1027</v>
      </c>
    </row>
    <row r="30" spans="1:3" ht="12.75" customHeight="1" x14ac:dyDescent="0.2">
      <c r="A30" s="1" t="s">
        <v>1028</v>
      </c>
      <c r="B30" s="1" t="str">
        <f t="shared" si="0"/>
        <v>1B</v>
      </c>
      <c r="C30" s="1" t="s">
        <v>1029</v>
      </c>
    </row>
    <row r="31" spans="1:3" ht="12.75" customHeight="1" x14ac:dyDescent="0.2">
      <c r="A31" s="1" t="s">
        <v>1030</v>
      </c>
      <c r="B31" s="1" t="str">
        <f t="shared" si="0"/>
        <v>1C</v>
      </c>
      <c r="C31" s="1" t="s">
        <v>1031</v>
      </c>
    </row>
    <row r="32" spans="1:3" ht="12.75" customHeight="1" x14ac:dyDescent="0.2">
      <c r="A32" s="1" t="s">
        <v>1032</v>
      </c>
      <c r="B32" s="1" t="str">
        <f t="shared" si="0"/>
        <v>1D</v>
      </c>
      <c r="C32" s="1" t="s">
        <v>1033</v>
      </c>
    </row>
    <row r="33" spans="1:3" ht="12.75" customHeight="1" x14ac:dyDescent="0.2">
      <c r="A33" s="1" t="s">
        <v>1034</v>
      </c>
      <c r="B33" s="1" t="str">
        <f t="shared" si="0"/>
        <v>1E</v>
      </c>
      <c r="C33" s="1" t="s">
        <v>1035</v>
      </c>
    </row>
    <row r="34" spans="1:3" ht="12.75" customHeight="1" x14ac:dyDescent="0.2">
      <c r="A34" s="1" t="s">
        <v>1036</v>
      </c>
      <c r="B34" s="1" t="str">
        <f t="shared" si="0"/>
        <v>1F</v>
      </c>
      <c r="C34" s="1" t="s">
        <v>1037</v>
      </c>
    </row>
    <row r="35" spans="1:3" ht="12.75" customHeight="1" x14ac:dyDescent="0.2">
      <c r="A35" s="1" t="s">
        <v>1038</v>
      </c>
      <c r="B35" s="1" t="str">
        <f t="shared" si="0"/>
        <v>20</v>
      </c>
      <c r="C35" s="1" t="s">
        <v>1039</v>
      </c>
    </row>
    <row r="36" spans="1:3" ht="12.75" customHeight="1" x14ac:dyDescent="0.2">
      <c r="A36" s="1" t="s">
        <v>1040</v>
      </c>
      <c r="B36" s="1" t="str">
        <f t="shared" si="0"/>
        <v>21</v>
      </c>
      <c r="C36" s="1" t="s">
        <v>1041</v>
      </c>
    </row>
    <row r="37" spans="1:3" ht="12.75" customHeight="1" x14ac:dyDescent="0.2">
      <c r="A37" s="1" t="s">
        <v>1042</v>
      </c>
      <c r="B37" s="1" t="str">
        <f t="shared" si="0"/>
        <v>22</v>
      </c>
      <c r="C37" s="1" t="s">
        <v>1043</v>
      </c>
    </row>
    <row r="38" spans="1:3" ht="12.75" customHeight="1" x14ac:dyDescent="0.2">
      <c r="A38" s="1" t="s">
        <v>1044</v>
      </c>
      <c r="B38" s="1" t="str">
        <f t="shared" si="0"/>
        <v>23</v>
      </c>
      <c r="C38" s="1" t="s">
        <v>1045</v>
      </c>
    </row>
    <row r="39" spans="1:3" ht="12.75" customHeight="1" x14ac:dyDescent="0.2">
      <c r="A39" s="1" t="s">
        <v>1046</v>
      </c>
      <c r="B39" s="1" t="str">
        <f t="shared" si="0"/>
        <v>24</v>
      </c>
      <c r="C39" s="1" t="s">
        <v>536</v>
      </c>
    </row>
    <row r="40" spans="1:3" ht="12.75" customHeight="1" x14ac:dyDescent="0.2">
      <c r="A40" s="1" t="s">
        <v>1047</v>
      </c>
      <c r="B40" s="1" t="str">
        <f t="shared" si="0"/>
        <v>25</v>
      </c>
      <c r="C40" s="1" t="s">
        <v>1048</v>
      </c>
    </row>
    <row r="41" spans="1:3" ht="12.75" customHeight="1" x14ac:dyDescent="0.2">
      <c r="A41" s="1" t="s">
        <v>1049</v>
      </c>
      <c r="B41" s="1" t="str">
        <f t="shared" si="0"/>
        <v>26</v>
      </c>
      <c r="C41" s="1" t="s">
        <v>1050</v>
      </c>
    </row>
    <row r="42" spans="1:3" ht="12.75" customHeight="1" x14ac:dyDescent="0.2">
      <c r="A42" s="1" t="s">
        <v>1051</v>
      </c>
      <c r="B42" s="1" t="str">
        <f t="shared" si="0"/>
        <v>27</v>
      </c>
      <c r="C42" s="1" t="s">
        <v>1052</v>
      </c>
    </row>
    <row r="43" spans="1:3" ht="12.75" customHeight="1" x14ac:dyDescent="0.2">
      <c r="A43" s="1" t="s">
        <v>1053</v>
      </c>
      <c r="B43" s="1" t="str">
        <f t="shared" si="0"/>
        <v>28</v>
      </c>
      <c r="C43" s="1" t="s">
        <v>1054</v>
      </c>
    </row>
    <row r="44" spans="1:3" ht="12.75" customHeight="1" x14ac:dyDescent="0.2">
      <c r="A44" s="1" t="s">
        <v>1055</v>
      </c>
      <c r="B44" s="1" t="str">
        <f t="shared" si="0"/>
        <v>29</v>
      </c>
      <c r="C44" s="1" t="s">
        <v>1056</v>
      </c>
    </row>
    <row r="45" spans="1:3" ht="12.75" customHeight="1" x14ac:dyDescent="0.2">
      <c r="A45" s="1" t="s">
        <v>1057</v>
      </c>
      <c r="B45" s="1" t="str">
        <f t="shared" si="0"/>
        <v>2A</v>
      </c>
      <c r="C45" s="1" t="s">
        <v>1058</v>
      </c>
    </row>
    <row r="46" spans="1:3" ht="12.75" customHeight="1" x14ac:dyDescent="0.2">
      <c r="A46" s="1" t="s">
        <v>1059</v>
      </c>
      <c r="B46" s="1" t="str">
        <f t="shared" si="0"/>
        <v>2B</v>
      </c>
      <c r="C46" s="1" t="s">
        <v>1060</v>
      </c>
    </row>
    <row r="47" spans="1:3" ht="12.75" customHeight="1" x14ac:dyDescent="0.2">
      <c r="A47" s="1" t="s">
        <v>1061</v>
      </c>
      <c r="B47" s="1" t="str">
        <f t="shared" si="0"/>
        <v>2C</v>
      </c>
      <c r="C47" s="1" t="s">
        <v>1062</v>
      </c>
    </row>
    <row r="48" spans="1:3" ht="12.75" customHeight="1" x14ac:dyDescent="0.2">
      <c r="A48" s="1" t="s">
        <v>1063</v>
      </c>
      <c r="B48" s="1" t="str">
        <f t="shared" si="0"/>
        <v>2D</v>
      </c>
      <c r="C48" s="1" t="s">
        <v>1064</v>
      </c>
    </row>
    <row r="49" spans="1:3" ht="12.75" customHeight="1" x14ac:dyDescent="0.2">
      <c r="A49" s="1" t="s">
        <v>1065</v>
      </c>
      <c r="B49" s="1" t="str">
        <f t="shared" si="0"/>
        <v>2E</v>
      </c>
      <c r="C49" s="1" t="s">
        <v>1066</v>
      </c>
    </row>
    <row r="50" spans="1:3" ht="12.75" customHeight="1" x14ac:dyDescent="0.2">
      <c r="A50" s="1" t="s">
        <v>1067</v>
      </c>
      <c r="B50" s="1" t="str">
        <f t="shared" si="0"/>
        <v>2F</v>
      </c>
      <c r="C50" s="1" t="s">
        <v>1068</v>
      </c>
    </row>
    <row r="51" spans="1:3" ht="12.75" customHeight="1" x14ac:dyDescent="0.2">
      <c r="A51" s="1" t="s">
        <v>1069</v>
      </c>
      <c r="B51" s="1" t="str">
        <f t="shared" si="0"/>
        <v>30</v>
      </c>
      <c r="C51" s="1" t="s">
        <v>1070</v>
      </c>
    </row>
    <row r="52" spans="1:3" ht="12.75" customHeight="1" x14ac:dyDescent="0.2">
      <c r="A52" s="1" t="s">
        <v>1071</v>
      </c>
      <c r="B52" s="1" t="str">
        <f t="shared" si="0"/>
        <v>31</v>
      </c>
      <c r="C52" s="1" t="s">
        <v>64</v>
      </c>
    </row>
    <row r="53" spans="1:3" ht="12.75" customHeight="1" x14ac:dyDescent="0.2">
      <c r="A53" s="1" t="s">
        <v>1072</v>
      </c>
      <c r="B53" s="1" t="str">
        <f t="shared" si="0"/>
        <v>32</v>
      </c>
      <c r="C53" s="1" t="s">
        <v>1073</v>
      </c>
    </row>
    <row r="54" spans="1:3" ht="12.75" customHeight="1" x14ac:dyDescent="0.2">
      <c r="A54" s="1" t="s">
        <v>1074</v>
      </c>
      <c r="B54" s="1" t="str">
        <f t="shared" si="0"/>
        <v>33</v>
      </c>
      <c r="C54" s="1" t="s">
        <v>1075</v>
      </c>
    </row>
    <row r="55" spans="1:3" ht="12.75" customHeight="1" x14ac:dyDescent="0.2">
      <c r="A55" s="1" t="s">
        <v>1076</v>
      </c>
      <c r="B55" s="1" t="str">
        <f t="shared" si="0"/>
        <v>34</v>
      </c>
      <c r="C55" s="1" t="s">
        <v>1077</v>
      </c>
    </row>
    <row r="56" spans="1:3" ht="12.75" customHeight="1" x14ac:dyDescent="0.2">
      <c r="A56" s="1" t="s">
        <v>1078</v>
      </c>
      <c r="B56" s="1" t="str">
        <f t="shared" si="0"/>
        <v>35</v>
      </c>
      <c r="C56" s="1" t="s">
        <v>1079</v>
      </c>
    </row>
    <row r="57" spans="1:3" ht="12.75" customHeight="1" x14ac:dyDescent="0.2">
      <c r="A57" s="1" t="s">
        <v>1080</v>
      </c>
      <c r="B57" s="1" t="str">
        <f t="shared" si="0"/>
        <v>36</v>
      </c>
      <c r="C57" s="1" t="s">
        <v>1081</v>
      </c>
    </row>
    <row r="58" spans="1:3" ht="12.75" customHeight="1" x14ac:dyDescent="0.2">
      <c r="A58" s="1" t="s">
        <v>1082</v>
      </c>
      <c r="B58" s="1" t="str">
        <f t="shared" si="0"/>
        <v>37</v>
      </c>
      <c r="C58" s="1" t="s">
        <v>1083</v>
      </c>
    </row>
    <row r="59" spans="1:3" ht="12.75" customHeight="1" x14ac:dyDescent="0.2">
      <c r="A59" s="1" t="s">
        <v>1084</v>
      </c>
      <c r="B59" s="1" t="str">
        <f t="shared" si="0"/>
        <v>38</v>
      </c>
      <c r="C59" s="1" t="s">
        <v>389</v>
      </c>
    </row>
    <row r="60" spans="1:3" ht="12.75" customHeight="1" x14ac:dyDescent="0.2">
      <c r="A60" s="1" t="s">
        <v>1085</v>
      </c>
      <c r="B60" s="1" t="str">
        <f t="shared" si="0"/>
        <v>39</v>
      </c>
      <c r="C60" s="1" t="s">
        <v>1086</v>
      </c>
    </row>
    <row r="61" spans="1:3" ht="12.75" customHeight="1" x14ac:dyDescent="0.2">
      <c r="A61" s="1" t="s">
        <v>1087</v>
      </c>
      <c r="B61" s="1" t="str">
        <f t="shared" si="0"/>
        <v>3A</v>
      </c>
      <c r="C61" s="1" t="s">
        <v>1088</v>
      </c>
    </row>
    <row r="62" spans="1:3" ht="12.75" customHeight="1" x14ac:dyDescent="0.2">
      <c r="A62" s="1" t="s">
        <v>1089</v>
      </c>
      <c r="B62" s="1" t="str">
        <f t="shared" si="0"/>
        <v>3B</v>
      </c>
      <c r="C62" s="1" t="s">
        <v>1090</v>
      </c>
    </row>
    <row r="63" spans="1:3" ht="12.75" customHeight="1" x14ac:dyDescent="0.2">
      <c r="A63" s="1" t="s">
        <v>1091</v>
      </c>
      <c r="B63" s="1" t="str">
        <f t="shared" si="0"/>
        <v>3C</v>
      </c>
      <c r="C63" s="1" t="s">
        <v>1092</v>
      </c>
    </row>
    <row r="64" spans="1:3" ht="12.75" customHeight="1" x14ac:dyDescent="0.2">
      <c r="A64" s="1" t="s">
        <v>1093</v>
      </c>
      <c r="B64" s="1" t="str">
        <f t="shared" si="0"/>
        <v>3D</v>
      </c>
      <c r="C64" s="1" t="s">
        <v>1094</v>
      </c>
    </row>
    <row r="65" spans="1:3" ht="12.75" customHeight="1" x14ac:dyDescent="0.2">
      <c r="A65" s="1" t="s">
        <v>1095</v>
      </c>
      <c r="B65" s="1" t="str">
        <f t="shared" si="0"/>
        <v>3E</v>
      </c>
      <c r="C65" s="1" t="s">
        <v>1096</v>
      </c>
    </row>
    <row r="66" spans="1:3" ht="12.75" customHeight="1" x14ac:dyDescent="0.2">
      <c r="A66" s="1" t="s">
        <v>1097</v>
      </c>
      <c r="B66" s="1" t="str">
        <f t="shared" si="0"/>
        <v>3F</v>
      </c>
      <c r="C66" s="1" t="s">
        <v>1098</v>
      </c>
    </row>
    <row r="67" spans="1:3" ht="12.75" customHeight="1" x14ac:dyDescent="0.2">
      <c r="A67" s="1" t="s">
        <v>1099</v>
      </c>
      <c r="B67" s="1" t="str">
        <f t="shared" si="0"/>
        <v>40</v>
      </c>
      <c r="C67" s="1" t="s">
        <v>1100</v>
      </c>
    </row>
    <row r="68" spans="1:3" ht="12.75" customHeight="1" x14ac:dyDescent="0.2">
      <c r="A68" s="1" t="s">
        <v>1101</v>
      </c>
      <c r="B68" s="1" t="str">
        <f t="shared" si="0"/>
        <v>41</v>
      </c>
      <c r="C68" s="1" t="s">
        <v>1102</v>
      </c>
    </row>
    <row r="69" spans="1:3" ht="12.75" customHeight="1" x14ac:dyDescent="0.2">
      <c r="A69" s="1" t="s">
        <v>1103</v>
      </c>
      <c r="B69" s="1" t="str">
        <f t="shared" si="0"/>
        <v>42</v>
      </c>
      <c r="C69" s="1" t="s">
        <v>1104</v>
      </c>
    </row>
    <row r="70" spans="1:3" ht="12.75" customHeight="1" x14ac:dyDescent="0.2">
      <c r="A70" s="1" t="s">
        <v>1105</v>
      </c>
      <c r="B70" s="1" t="str">
        <f t="shared" si="0"/>
        <v>43</v>
      </c>
      <c r="C70" s="1" t="s">
        <v>1106</v>
      </c>
    </row>
    <row r="71" spans="1:3" ht="12.75" customHeight="1" x14ac:dyDescent="0.2">
      <c r="A71" s="1" t="s">
        <v>1107</v>
      </c>
      <c r="B71" s="70" t="str">
        <f t="shared" si="0"/>
        <v>44</v>
      </c>
      <c r="C71" s="70" t="s">
        <v>1108</v>
      </c>
    </row>
    <row r="72" spans="1:3" ht="12.75" customHeight="1" x14ac:dyDescent="0.2">
      <c r="A72" s="1" t="s">
        <v>1109</v>
      </c>
      <c r="B72" s="1" t="str">
        <f t="shared" si="0"/>
        <v>45</v>
      </c>
      <c r="C72" s="1" t="s">
        <v>1110</v>
      </c>
    </row>
    <row r="73" spans="1:3" ht="12.75" customHeight="1" x14ac:dyDescent="0.2">
      <c r="A73" s="1" t="s">
        <v>1111</v>
      </c>
      <c r="B73" s="1" t="str">
        <f t="shared" si="0"/>
        <v>46</v>
      </c>
      <c r="C73" s="1" t="s">
        <v>1112</v>
      </c>
    </row>
    <row r="74" spans="1:3" ht="12.75" customHeight="1" x14ac:dyDescent="0.2">
      <c r="A74" s="1" t="s">
        <v>1113</v>
      </c>
      <c r="B74" s="1" t="str">
        <f t="shared" si="0"/>
        <v>47</v>
      </c>
      <c r="C74" s="1" t="s">
        <v>1114</v>
      </c>
    </row>
    <row r="75" spans="1:3" ht="12.75" customHeight="1" x14ac:dyDescent="0.2">
      <c r="A75" s="1" t="s">
        <v>1115</v>
      </c>
      <c r="B75" s="1" t="str">
        <f t="shared" si="0"/>
        <v>48</v>
      </c>
      <c r="C75" s="1" t="s">
        <v>1116</v>
      </c>
    </row>
    <row r="76" spans="1:3" ht="12.75" customHeight="1" x14ac:dyDescent="0.2">
      <c r="A76" s="1" t="s">
        <v>1117</v>
      </c>
      <c r="B76" s="1" t="str">
        <f t="shared" si="0"/>
        <v>49</v>
      </c>
      <c r="C76" s="1" t="s">
        <v>1118</v>
      </c>
    </row>
    <row r="77" spans="1:3" ht="12.75" customHeight="1" x14ac:dyDescent="0.2">
      <c r="A77" s="1" t="s">
        <v>1119</v>
      </c>
      <c r="B77" s="1" t="str">
        <f t="shared" si="0"/>
        <v>4A</v>
      </c>
      <c r="C77" s="1" t="s">
        <v>1120</v>
      </c>
    </row>
    <row r="78" spans="1:3" ht="12.75" customHeight="1" x14ac:dyDescent="0.2">
      <c r="A78" s="1" t="s">
        <v>1121</v>
      </c>
      <c r="B78" s="1" t="str">
        <f t="shared" si="0"/>
        <v>4B</v>
      </c>
      <c r="C78" s="1" t="s">
        <v>1122</v>
      </c>
    </row>
    <row r="79" spans="1:3" ht="12.75" customHeight="1" x14ac:dyDescent="0.2">
      <c r="A79" s="1" t="s">
        <v>1123</v>
      </c>
      <c r="B79" s="1" t="str">
        <f t="shared" si="0"/>
        <v>4C</v>
      </c>
      <c r="C79" s="1" t="s">
        <v>1124</v>
      </c>
    </row>
    <row r="80" spans="1:3" ht="12.75" customHeight="1" x14ac:dyDescent="0.2">
      <c r="A80" s="1" t="s">
        <v>1125</v>
      </c>
      <c r="B80" s="1" t="str">
        <f t="shared" si="0"/>
        <v>4D</v>
      </c>
      <c r="C80" s="1" t="s">
        <v>1126</v>
      </c>
    </row>
    <row r="81" spans="1:3" ht="12.75" customHeight="1" x14ac:dyDescent="0.2">
      <c r="A81" s="1" t="s">
        <v>1127</v>
      </c>
      <c r="B81" s="1" t="str">
        <f t="shared" si="0"/>
        <v>4E</v>
      </c>
      <c r="C81" s="1" t="s">
        <v>1128</v>
      </c>
    </row>
    <row r="82" spans="1:3" ht="12.75" customHeight="1" x14ac:dyDescent="0.2">
      <c r="A82" s="1" t="s">
        <v>1129</v>
      </c>
      <c r="B82" s="1" t="str">
        <f t="shared" si="0"/>
        <v>4F</v>
      </c>
      <c r="C82" s="1" t="s">
        <v>1130</v>
      </c>
    </row>
    <row r="83" spans="1:3" ht="12.75" customHeight="1" x14ac:dyDescent="0.2">
      <c r="A83" s="1" t="s">
        <v>1131</v>
      </c>
      <c r="B83" s="1" t="str">
        <f t="shared" si="0"/>
        <v>50</v>
      </c>
      <c r="C83" s="1" t="s">
        <v>1132</v>
      </c>
    </row>
    <row r="84" spans="1:3" ht="12.75" customHeight="1" x14ac:dyDescent="0.2">
      <c r="A84" s="1" t="s">
        <v>1133</v>
      </c>
      <c r="B84" s="1" t="str">
        <f t="shared" si="0"/>
        <v>51</v>
      </c>
      <c r="C84" s="1" t="s">
        <v>1134</v>
      </c>
    </row>
    <row r="85" spans="1:3" ht="12.75" customHeight="1" x14ac:dyDescent="0.2">
      <c r="A85" s="1" t="s">
        <v>1135</v>
      </c>
      <c r="B85" s="1" t="str">
        <f t="shared" si="0"/>
        <v>52</v>
      </c>
      <c r="C85" s="1" t="s">
        <v>1136</v>
      </c>
    </row>
    <row r="86" spans="1:3" ht="12.75" customHeight="1" x14ac:dyDescent="0.2">
      <c r="A86" s="1" t="s">
        <v>1137</v>
      </c>
      <c r="B86" s="1" t="str">
        <f t="shared" si="0"/>
        <v>53</v>
      </c>
      <c r="C86" s="1" t="s">
        <v>496</v>
      </c>
    </row>
    <row r="87" spans="1:3" ht="12.75" customHeight="1" x14ac:dyDescent="0.2">
      <c r="A87" s="1" t="s">
        <v>1138</v>
      </c>
      <c r="B87" s="1" t="str">
        <f t="shared" si="0"/>
        <v>54</v>
      </c>
      <c r="C87" s="1" t="s">
        <v>1139</v>
      </c>
    </row>
    <row r="88" spans="1:3" ht="12.75" customHeight="1" x14ac:dyDescent="0.2">
      <c r="A88" s="1" t="s">
        <v>1140</v>
      </c>
      <c r="B88" s="1" t="str">
        <f t="shared" si="0"/>
        <v>55</v>
      </c>
      <c r="C88" s="1" t="s">
        <v>1141</v>
      </c>
    </row>
    <row r="89" spans="1:3" ht="12.75" customHeight="1" x14ac:dyDescent="0.2">
      <c r="A89" s="1" t="s">
        <v>1142</v>
      </c>
      <c r="B89" s="1" t="str">
        <f t="shared" si="0"/>
        <v>56</v>
      </c>
      <c r="C89" s="1" t="s">
        <v>1143</v>
      </c>
    </row>
    <row r="90" spans="1:3" ht="12.75" customHeight="1" x14ac:dyDescent="0.2">
      <c r="A90" s="1" t="s">
        <v>1144</v>
      </c>
      <c r="B90" s="1" t="str">
        <f t="shared" si="0"/>
        <v>57</v>
      </c>
      <c r="C90" s="1" t="s">
        <v>1145</v>
      </c>
    </row>
    <row r="91" spans="1:3" ht="12.75" customHeight="1" x14ac:dyDescent="0.2">
      <c r="A91" s="1" t="s">
        <v>1146</v>
      </c>
      <c r="B91" s="1" t="str">
        <f t="shared" si="0"/>
        <v>58</v>
      </c>
      <c r="C91" s="1" t="s">
        <v>1147</v>
      </c>
    </row>
    <row r="92" spans="1:3" ht="12.75" customHeight="1" x14ac:dyDescent="0.2">
      <c r="A92" s="1" t="s">
        <v>1148</v>
      </c>
      <c r="B92" s="1" t="str">
        <f t="shared" si="0"/>
        <v>59</v>
      </c>
      <c r="C92" s="1" t="s">
        <v>1149</v>
      </c>
    </row>
    <row r="93" spans="1:3" ht="12.75" customHeight="1" x14ac:dyDescent="0.2">
      <c r="A93" s="1" t="s">
        <v>1150</v>
      </c>
      <c r="B93" s="1" t="str">
        <f t="shared" si="0"/>
        <v>5A</v>
      </c>
      <c r="C93" s="1" t="s">
        <v>1151</v>
      </c>
    </row>
    <row r="94" spans="1:3" ht="12.75" customHeight="1" x14ac:dyDescent="0.2">
      <c r="A94" s="1" t="s">
        <v>1152</v>
      </c>
      <c r="B94" s="1" t="str">
        <f t="shared" si="0"/>
        <v>5B</v>
      </c>
      <c r="C94" s="1" t="s">
        <v>1153</v>
      </c>
    </row>
    <row r="95" spans="1:3" ht="12.75" customHeight="1" x14ac:dyDescent="0.2">
      <c r="A95" s="1" t="s">
        <v>1154</v>
      </c>
      <c r="B95" s="1" t="str">
        <f t="shared" si="0"/>
        <v>5C</v>
      </c>
      <c r="C95" s="1" t="s">
        <v>1155</v>
      </c>
    </row>
    <row r="96" spans="1:3" ht="12.75" customHeight="1" x14ac:dyDescent="0.2">
      <c r="A96" s="1" t="s">
        <v>1156</v>
      </c>
      <c r="B96" s="1" t="str">
        <f t="shared" si="0"/>
        <v>5D</v>
      </c>
      <c r="C96" s="1" t="s">
        <v>1157</v>
      </c>
    </row>
    <row r="97" spans="1:3" ht="12.75" customHeight="1" x14ac:dyDescent="0.2">
      <c r="A97" s="1" t="s">
        <v>1158</v>
      </c>
      <c r="B97" s="1" t="str">
        <f t="shared" si="0"/>
        <v>5E</v>
      </c>
      <c r="C97" s="1" t="s">
        <v>1159</v>
      </c>
    </row>
    <row r="98" spans="1:3" ht="12.75" customHeight="1" x14ac:dyDescent="0.2">
      <c r="A98" s="1" t="s">
        <v>1160</v>
      </c>
      <c r="B98" s="1" t="str">
        <f t="shared" si="0"/>
        <v>5F</v>
      </c>
      <c r="C98" s="1" t="s">
        <v>1161</v>
      </c>
    </row>
    <row r="99" spans="1:3" ht="12.75" customHeight="1" x14ac:dyDescent="0.2">
      <c r="A99" s="1" t="s">
        <v>1162</v>
      </c>
      <c r="B99" s="1" t="str">
        <f t="shared" si="0"/>
        <v>60</v>
      </c>
      <c r="C99" s="1" t="s">
        <v>1163</v>
      </c>
    </row>
    <row r="100" spans="1:3" ht="12.75" customHeight="1" x14ac:dyDescent="0.2">
      <c r="A100" s="1" t="s">
        <v>1164</v>
      </c>
      <c r="B100" s="1" t="str">
        <f t="shared" si="0"/>
        <v>61</v>
      </c>
      <c r="C100" s="1" t="s">
        <v>1165</v>
      </c>
    </row>
    <row r="101" spans="1:3" ht="12.75" customHeight="1" x14ac:dyDescent="0.2">
      <c r="A101" s="1" t="s">
        <v>1166</v>
      </c>
      <c r="B101" s="70" t="str">
        <f t="shared" si="0"/>
        <v>62</v>
      </c>
      <c r="C101" s="70" t="s">
        <v>1167</v>
      </c>
    </row>
    <row r="102" spans="1:3" ht="12.75" customHeight="1" x14ac:dyDescent="0.2">
      <c r="A102" s="1" t="s">
        <v>1168</v>
      </c>
      <c r="B102" s="1" t="str">
        <f t="shared" si="0"/>
        <v>63</v>
      </c>
      <c r="C102" s="1" t="s">
        <v>1169</v>
      </c>
    </row>
    <row r="103" spans="1:3" ht="12.75" customHeight="1" x14ac:dyDescent="0.2">
      <c r="A103" s="1" t="s">
        <v>1170</v>
      </c>
      <c r="B103" s="1" t="str">
        <f t="shared" si="0"/>
        <v>64</v>
      </c>
      <c r="C103" s="1" t="s">
        <v>1171</v>
      </c>
    </row>
    <row r="104" spans="1:3" ht="12.75" customHeight="1" x14ac:dyDescent="0.2">
      <c r="A104" s="1" t="s">
        <v>1172</v>
      </c>
      <c r="B104" s="1" t="str">
        <f t="shared" si="0"/>
        <v>65</v>
      </c>
      <c r="C104" s="1" t="s">
        <v>1173</v>
      </c>
    </row>
    <row r="105" spans="1:3" ht="12.75" customHeight="1" x14ac:dyDescent="0.2">
      <c r="A105" s="1" t="s">
        <v>1174</v>
      </c>
      <c r="B105" s="1" t="str">
        <f t="shared" si="0"/>
        <v>66</v>
      </c>
      <c r="C105" s="1" t="s">
        <v>1175</v>
      </c>
    </row>
    <row r="106" spans="1:3" ht="12.75" customHeight="1" x14ac:dyDescent="0.2">
      <c r="A106" s="1" t="s">
        <v>1176</v>
      </c>
      <c r="B106" s="1" t="str">
        <f t="shared" si="0"/>
        <v>67</v>
      </c>
      <c r="C106" s="1" t="s">
        <v>1177</v>
      </c>
    </row>
    <row r="107" spans="1:3" ht="12.75" customHeight="1" x14ac:dyDescent="0.2">
      <c r="A107" s="1" t="s">
        <v>1178</v>
      </c>
      <c r="B107" s="1" t="str">
        <f t="shared" si="0"/>
        <v>68</v>
      </c>
      <c r="C107" s="1" t="s">
        <v>1179</v>
      </c>
    </row>
    <row r="108" spans="1:3" ht="12.75" customHeight="1" x14ac:dyDescent="0.2">
      <c r="A108" s="1" t="s">
        <v>1180</v>
      </c>
      <c r="B108" s="1" t="str">
        <f t="shared" si="0"/>
        <v>69</v>
      </c>
      <c r="C108" s="1" t="s">
        <v>1181</v>
      </c>
    </row>
    <row r="109" spans="1:3" ht="12.75" customHeight="1" x14ac:dyDescent="0.2">
      <c r="A109" s="1" t="s">
        <v>1182</v>
      </c>
      <c r="B109" s="1" t="str">
        <f t="shared" si="0"/>
        <v>6A</v>
      </c>
      <c r="C109" s="1" t="s">
        <v>1183</v>
      </c>
    </row>
    <row r="110" spans="1:3" ht="12.75" customHeight="1" x14ac:dyDescent="0.2">
      <c r="A110" s="1" t="s">
        <v>1184</v>
      </c>
      <c r="B110" s="1" t="str">
        <f t="shared" si="0"/>
        <v>6B</v>
      </c>
      <c r="C110" s="1" t="s">
        <v>1185</v>
      </c>
    </row>
    <row r="111" spans="1:3" ht="12.75" customHeight="1" x14ac:dyDescent="0.2">
      <c r="A111" s="1" t="s">
        <v>1186</v>
      </c>
      <c r="B111" s="1" t="str">
        <f t="shared" si="0"/>
        <v>6C</v>
      </c>
      <c r="C111" s="1" t="s">
        <v>1187</v>
      </c>
    </row>
    <row r="112" spans="1:3" ht="12.75" customHeight="1" x14ac:dyDescent="0.2">
      <c r="A112" s="1" t="s">
        <v>1188</v>
      </c>
      <c r="B112" s="1" t="str">
        <f t="shared" si="0"/>
        <v>6D</v>
      </c>
      <c r="C112" s="1" t="s">
        <v>1189</v>
      </c>
    </row>
    <row r="113" spans="1:3" ht="12.75" customHeight="1" x14ac:dyDescent="0.2">
      <c r="A113" s="1" t="s">
        <v>1190</v>
      </c>
      <c r="B113" s="1" t="str">
        <f t="shared" si="0"/>
        <v>6E</v>
      </c>
      <c r="C113" s="1" t="s">
        <v>1191</v>
      </c>
    </row>
    <row r="114" spans="1:3" ht="12.75" customHeight="1" x14ac:dyDescent="0.2">
      <c r="A114" s="1" t="s">
        <v>1192</v>
      </c>
      <c r="B114" s="1" t="str">
        <f t="shared" si="0"/>
        <v>6F</v>
      </c>
      <c r="C114" s="1" t="s">
        <v>1193</v>
      </c>
    </row>
    <row r="115" spans="1:3" ht="12.75" customHeight="1" x14ac:dyDescent="0.2">
      <c r="A115" s="1" t="s">
        <v>1194</v>
      </c>
      <c r="B115" s="1" t="str">
        <f t="shared" si="0"/>
        <v>70</v>
      </c>
      <c r="C115" s="1" t="s">
        <v>1195</v>
      </c>
    </row>
    <row r="116" spans="1:3" ht="12.75" customHeight="1" x14ac:dyDescent="0.2">
      <c r="A116" s="1" t="s">
        <v>1196</v>
      </c>
      <c r="B116" s="1" t="str">
        <f t="shared" si="0"/>
        <v>71</v>
      </c>
      <c r="C116" s="1" t="s">
        <v>1197</v>
      </c>
    </row>
    <row r="117" spans="1:3" ht="12.75" customHeight="1" x14ac:dyDescent="0.2">
      <c r="A117" s="1" t="s">
        <v>1198</v>
      </c>
      <c r="B117" s="1" t="str">
        <f t="shared" si="0"/>
        <v>72</v>
      </c>
      <c r="C117" s="1" t="s">
        <v>1199</v>
      </c>
    </row>
    <row r="118" spans="1:3" ht="12.75" customHeight="1" x14ac:dyDescent="0.2">
      <c r="A118" s="1" t="s">
        <v>1200</v>
      </c>
      <c r="B118" s="1" t="str">
        <f t="shared" si="0"/>
        <v>73</v>
      </c>
      <c r="C118" s="1" t="s">
        <v>1201</v>
      </c>
    </row>
    <row r="119" spans="1:3" ht="12.75" customHeight="1" x14ac:dyDescent="0.2">
      <c r="A119" s="1" t="s">
        <v>1202</v>
      </c>
      <c r="B119" s="1" t="str">
        <f t="shared" si="0"/>
        <v>74</v>
      </c>
      <c r="C119" s="1" t="s">
        <v>1203</v>
      </c>
    </row>
    <row r="120" spans="1:3" ht="12.75" customHeight="1" x14ac:dyDescent="0.2">
      <c r="A120" s="1" t="s">
        <v>1204</v>
      </c>
      <c r="B120" s="1" t="str">
        <f t="shared" si="0"/>
        <v>75</v>
      </c>
      <c r="C120" s="1" t="s">
        <v>1205</v>
      </c>
    </row>
    <row r="121" spans="1:3" ht="12.75" customHeight="1" x14ac:dyDescent="0.2">
      <c r="A121" s="1" t="s">
        <v>1206</v>
      </c>
      <c r="B121" s="1" t="str">
        <f t="shared" si="0"/>
        <v>76</v>
      </c>
      <c r="C121" s="1" t="s">
        <v>1207</v>
      </c>
    </row>
    <row r="122" spans="1:3" ht="12.75" customHeight="1" x14ac:dyDescent="0.2">
      <c r="A122" s="1" t="s">
        <v>1208</v>
      </c>
      <c r="B122" s="1" t="str">
        <f t="shared" si="0"/>
        <v>77</v>
      </c>
      <c r="C122" s="1" t="s">
        <v>1209</v>
      </c>
    </row>
    <row r="123" spans="1:3" ht="12.75" customHeight="1" x14ac:dyDescent="0.2">
      <c r="A123" s="1" t="s">
        <v>1210</v>
      </c>
      <c r="B123" s="1" t="str">
        <f t="shared" si="0"/>
        <v>78</v>
      </c>
      <c r="C123" s="1" t="s">
        <v>1211</v>
      </c>
    </row>
    <row r="124" spans="1:3" ht="12.75" customHeight="1" x14ac:dyDescent="0.2">
      <c r="A124" s="1" t="s">
        <v>1212</v>
      </c>
      <c r="B124" s="1" t="str">
        <f t="shared" si="0"/>
        <v>79</v>
      </c>
      <c r="C124" s="1" t="s">
        <v>1213</v>
      </c>
    </row>
    <row r="125" spans="1:3" ht="12.75" customHeight="1" x14ac:dyDescent="0.2">
      <c r="A125" s="1" t="s">
        <v>1214</v>
      </c>
      <c r="B125" s="1" t="str">
        <f t="shared" si="0"/>
        <v>7A</v>
      </c>
      <c r="C125" s="1" t="s">
        <v>1215</v>
      </c>
    </row>
    <row r="126" spans="1:3" ht="12.75" customHeight="1" x14ac:dyDescent="0.2">
      <c r="A126" s="1" t="s">
        <v>1216</v>
      </c>
      <c r="B126" s="1" t="str">
        <f t="shared" si="0"/>
        <v>7B</v>
      </c>
      <c r="C126" s="1" t="s">
        <v>1217</v>
      </c>
    </row>
    <row r="127" spans="1:3" ht="12.75" customHeight="1" x14ac:dyDescent="0.2">
      <c r="A127" s="1" t="s">
        <v>1218</v>
      </c>
      <c r="B127" s="1" t="str">
        <f t="shared" si="0"/>
        <v>7C</v>
      </c>
      <c r="C127" s="1" t="s">
        <v>1219</v>
      </c>
    </row>
    <row r="128" spans="1:3" ht="12.75" customHeight="1" x14ac:dyDescent="0.2">
      <c r="A128" s="1" t="s">
        <v>1220</v>
      </c>
      <c r="B128" s="1" t="str">
        <f t="shared" si="0"/>
        <v>7D</v>
      </c>
      <c r="C128" s="1" t="s">
        <v>1221</v>
      </c>
    </row>
    <row r="129" spans="1:3" ht="12.75" customHeight="1" x14ac:dyDescent="0.2">
      <c r="A129" s="1" t="s">
        <v>1222</v>
      </c>
      <c r="B129" s="1" t="str">
        <f t="shared" si="0"/>
        <v>7E</v>
      </c>
      <c r="C129" s="1" t="s">
        <v>1223</v>
      </c>
    </row>
    <row r="130" spans="1:3" ht="12.75" customHeight="1" x14ac:dyDescent="0.2">
      <c r="A130" s="1" t="s">
        <v>1224</v>
      </c>
      <c r="B130" s="1" t="str">
        <f t="shared" si="0"/>
        <v>7F</v>
      </c>
      <c r="C130" s="1" t="s">
        <v>1225</v>
      </c>
    </row>
    <row r="131" spans="1:3" ht="12.75" customHeight="1" x14ac:dyDescent="0.2">
      <c r="A131" s="1" t="s">
        <v>1226</v>
      </c>
      <c r="B131" s="1" t="str">
        <f t="shared" si="0"/>
        <v>80</v>
      </c>
      <c r="C131" s="1" t="s">
        <v>1227</v>
      </c>
    </row>
    <row r="132" spans="1:3" ht="12.75" customHeight="1" x14ac:dyDescent="0.2">
      <c r="A132" s="1" t="s">
        <v>1228</v>
      </c>
      <c r="B132" s="1" t="str">
        <f t="shared" si="0"/>
        <v>81</v>
      </c>
      <c r="C132" s="1" t="s">
        <v>1229</v>
      </c>
    </row>
    <row r="133" spans="1:3" ht="12.75" customHeight="1" x14ac:dyDescent="0.2">
      <c r="A133" s="1" t="s">
        <v>1230</v>
      </c>
      <c r="B133" s="1" t="str">
        <f t="shared" si="0"/>
        <v>82</v>
      </c>
      <c r="C133" s="1" t="s">
        <v>1231</v>
      </c>
    </row>
    <row r="134" spans="1:3" ht="12.75" customHeight="1" x14ac:dyDescent="0.2">
      <c r="A134" s="1" t="s">
        <v>1232</v>
      </c>
      <c r="B134" s="1" t="str">
        <f t="shared" si="0"/>
        <v>83</v>
      </c>
      <c r="C134" s="1" t="s">
        <v>1233</v>
      </c>
    </row>
    <row r="135" spans="1:3" ht="12.75" customHeight="1" x14ac:dyDescent="0.2">
      <c r="A135" s="1" t="s">
        <v>1234</v>
      </c>
      <c r="B135" s="1" t="str">
        <f t="shared" si="0"/>
        <v>84</v>
      </c>
      <c r="C135" s="1" t="s">
        <v>1235</v>
      </c>
    </row>
    <row r="136" spans="1:3" ht="12.75" customHeight="1" x14ac:dyDescent="0.2">
      <c r="A136" s="1" t="s">
        <v>1236</v>
      </c>
      <c r="B136" s="1" t="str">
        <f t="shared" si="0"/>
        <v>85</v>
      </c>
      <c r="C136" s="1" t="s">
        <v>1237</v>
      </c>
    </row>
    <row r="137" spans="1:3" ht="12.75" customHeight="1" x14ac:dyDescent="0.2">
      <c r="A137" s="1" t="s">
        <v>1238</v>
      </c>
      <c r="B137" s="1" t="str">
        <f t="shared" si="0"/>
        <v>86</v>
      </c>
      <c r="C137" s="1" t="s">
        <v>1239</v>
      </c>
    </row>
    <row r="138" spans="1:3" ht="12.75" customHeight="1" x14ac:dyDescent="0.2">
      <c r="A138" s="1" t="s">
        <v>1240</v>
      </c>
      <c r="B138" s="1" t="str">
        <f t="shared" si="0"/>
        <v>87</v>
      </c>
      <c r="C138" s="1" t="s">
        <v>1241</v>
      </c>
    </row>
    <row r="139" spans="1:3" ht="12.75" customHeight="1" x14ac:dyDescent="0.2">
      <c r="A139" s="1" t="s">
        <v>1242</v>
      </c>
      <c r="B139" s="1" t="str">
        <f t="shared" si="0"/>
        <v>88</v>
      </c>
      <c r="C139" s="1" t="s">
        <v>1243</v>
      </c>
    </row>
    <row r="140" spans="1:3" ht="12.75" customHeight="1" x14ac:dyDescent="0.2">
      <c r="A140" s="1" t="s">
        <v>1244</v>
      </c>
      <c r="B140" s="1" t="str">
        <f t="shared" si="0"/>
        <v>89</v>
      </c>
      <c r="C140" s="1" t="s">
        <v>1245</v>
      </c>
    </row>
    <row r="141" spans="1:3" ht="12.75" customHeight="1" x14ac:dyDescent="0.2">
      <c r="A141" s="1" t="s">
        <v>1246</v>
      </c>
      <c r="B141" s="1" t="str">
        <f t="shared" si="0"/>
        <v>8A</v>
      </c>
      <c r="C141" s="1" t="s">
        <v>1247</v>
      </c>
    </row>
    <row r="142" spans="1:3" ht="12.75" customHeight="1" x14ac:dyDescent="0.2">
      <c r="A142" s="1" t="s">
        <v>1248</v>
      </c>
      <c r="B142" s="1" t="str">
        <f t="shared" si="0"/>
        <v>8B</v>
      </c>
      <c r="C142" s="1" t="s">
        <v>1249</v>
      </c>
    </row>
    <row r="143" spans="1:3" ht="12.75" customHeight="1" x14ac:dyDescent="0.2">
      <c r="A143" s="1" t="s">
        <v>1250</v>
      </c>
      <c r="B143" s="1" t="str">
        <f t="shared" si="0"/>
        <v>8C</v>
      </c>
      <c r="C143" s="1" t="s">
        <v>1251</v>
      </c>
    </row>
    <row r="144" spans="1:3" ht="12.75" customHeight="1" x14ac:dyDescent="0.2">
      <c r="A144" s="1" t="s">
        <v>1252</v>
      </c>
      <c r="B144" s="1" t="str">
        <f t="shared" si="0"/>
        <v>8D</v>
      </c>
      <c r="C144" s="1" t="s">
        <v>1253</v>
      </c>
    </row>
    <row r="145" spans="1:3" ht="12.75" customHeight="1" x14ac:dyDescent="0.2">
      <c r="A145" s="1" t="s">
        <v>1254</v>
      </c>
      <c r="B145" s="1" t="str">
        <f t="shared" si="0"/>
        <v>8E</v>
      </c>
      <c r="C145" s="1" t="s">
        <v>1255</v>
      </c>
    </row>
    <row r="146" spans="1:3" ht="12.75" customHeight="1" x14ac:dyDescent="0.2">
      <c r="A146" s="1" t="s">
        <v>1256</v>
      </c>
      <c r="B146" s="1" t="str">
        <f t="shared" si="0"/>
        <v>8F</v>
      </c>
      <c r="C146" s="1" t="s">
        <v>1257</v>
      </c>
    </row>
    <row r="147" spans="1:3" ht="12.75" customHeight="1" x14ac:dyDescent="0.2">
      <c r="A147" s="1" t="s">
        <v>1258</v>
      </c>
      <c r="B147" s="1" t="str">
        <f t="shared" si="0"/>
        <v>90</v>
      </c>
      <c r="C147" s="1" t="s">
        <v>1259</v>
      </c>
    </row>
    <row r="148" spans="1:3" ht="12.75" customHeight="1" x14ac:dyDescent="0.2">
      <c r="A148" s="1" t="s">
        <v>1260</v>
      </c>
      <c r="B148" s="1" t="str">
        <f t="shared" si="0"/>
        <v>91</v>
      </c>
      <c r="C148" s="1" t="s">
        <v>1261</v>
      </c>
    </row>
    <row r="149" spans="1:3" ht="12.75" customHeight="1" x14ac:dyDescent="0.2">
      <c r="A149" s="1" t="s">
        <v>1262</v>
      </c>
      <c r="B149" s="1" t="str">
        <f t="shared" si="0"/>
        <v>92</v>
      </c>
      <c r="C149" s="1" t="s">
        <v>1263</v>
      </c>
    </row>
    <row r="150" spans="1:3" ht="12.75" customHeight="1" x14ac:dyDescent="0.2">
      <c r="A150" s="1" t="s">
        <v>1264</v>
      </c>
      <c r="B150" s="1" t="str">
        <f t="shared" si="0"/>
        <v>93</v>
      </c>
      <c r="C150" s="1" t="s">
        <v>1265</v>
      </c>
    </row>
    <row r="151" spans="1:3" ht="12.75" customHeight="1" x14ac:dyDescent="0.2">
      <c r="A151" s="1" t="s">
        <v>1266</v>
      </c>
      <c r="B151" s="1" t="str">
        <f t="shared" si="0"/>
        <v>94</v>
      </c>
      <c r="C151" s="1" t="s">
        <v>1267</v>
      </c>
    </row>
    <row r="152" spans="1:3" ht="12.75" customHeight="1" x14ac:dyDescent="0.2">
      <c r="A152" s="1" t="s">
        <v>1268</v>
      </c>
      <c r="B152" s="1" t="str">
        <f t="shared" si="0"/>
        <v>95</v>
      </c>
      <c r="C152" s="1" t="s">
        <v>1269</v>
      </c>
    </row>
    <row r="153" spans="1:3" ht="12.75" customHeight="1" x14ac:dyDescent="0.2">
      <c r="A153" s="1" t="s">
        <v>1270</v>
      </c>
      <c r="B153" s="1" t="str">
        <f t="shared" si="0"/>
        <v>96</v>
      </c>
      <c r="C153" s="1" t="s">
        <v>1271</v>
      </c>
    </row>
    <row r="154" spans="1:3" ht="12.75" customHeight="1" x14ac:dyDescent="0.2">
      <c r="A154" s="1" t="s">
        <v>1272</v>
      </c>
      <c r="B154" s="1" t="str">
        <f t="shared" si="0"/>
        <v>97</v>
      </c>
      <c r="C154" s="1" t="s">
        <v>1273</v>
      </c>
    </row>
    <row r="155" spans="1:3" ht="12.75" customHeight="1" x14ac:dyDescent="0.2">
      <c r="A155" s="1" t="s">
        <v>1274</v>
      </c>
      <c r="B155" s="1" t="str">
        <f t="shared" si="0"/>
        <v>98</v>
      </c>
      <c r="C155" s="1" t="s">
        <v>1275</v>
      </c>
    </row>
    <row r="156" spans="1:3" ht="12.75" customHeight="1" x14ac:dyDescent="0.2">
      <c r="A156" s="1" t="s">
        <v>1276</v>
      </c>
      <c r="B156" s="1" t="str">
        <f t="shared" si="0"/>
        <v>99</v>
      </c>
      <c r="C156" s="1" t="s">
        <v>1277</v>
      </c>
    </row>
    <row r="157" spans="1:3" ht="12.75" customHeight="1" x14ac:dyDescent="0.2">
      <c r="A157" s="1" t="s">
        <v>1278</v>
      </c>
      <c r="B157" s="1" t="str">
        <f t="shared" si="0"/>
        <v>9A</v>
      </c>
      <c r="C157" s="1" t="s">
        <v>1279</v>
      </c>
    </row>
    <row r="158" spans="1:3" ht="12.75" customHeight="1" x14ac:dyDescent="0.2">
      <c r="A158" s="1" t="s">
        <v>1280</v>
      </c>
      <c r="B158" s="1" t="str">
        <f t="shared" si="0"/>
        <v>9B</v>
      </c>
      <c r="C158" s="1" t="s">
        <v>1281</v>
      </c>
    </row>
    <row r="159" spans="1:3" ht="12.75" customHeight="1" x14ac:dyDescent="0.2">
      <c r="A159" s="1" t="s">
        <v>1282</v>
      </c>
      <c r="B159" s="1" t="str">
        <f t="shared" si="0"/>
        <v>9C</v>
      </c>
      <c r="C159" s="1" t="s">
        <v>1283</v>
      </c>
    </row>
    <row r="160" spans="1:3" ht="12.75" customHeight="1" x14ac:dyDescent="0.2">
      <c r="A160" s="1" t="s">
        <v>1284</v>
      </c>
      <c r="B160" s="1" t="str">
        <f t="shared" si="0"/>
        <v>9D</v>
      </c>
      <c r="C160" s="1" t="s">
        <v>1285</v>
      </c>
    </row>
    <row r="161" spans="1:3" ht="12.75" customHeight="1" x14ac:dyDescent="0.2">
      <c r="A161" s="1" t="s">
        <v>1286</v>
      </c>
      <c r="B161" s="1" t="str">
        <f t="shared" si="0"/>
        <v>9E</v>
      </c>
      <c r="C161" s="1" t="s">
        <v>1287</v>
      </c>
    </row>
    <row r="162" spans="1:3" ht="12.75" customHeight="1" x14ac:dyDescent="0.2">
      <c r="A162" s="1" t="s">
        <v>1288</v>
      </c>
      <c r="B162" s="1" t="str">
        <f t="shared" si="0"/>
        <v>9F</v>
      </c>
      <c r="C162" s="1" t="s">
        <v>1289</v>
      </c>
    </row>
    <row r="163" spans="1:3" ht="12.75" customHeight="1" x14ac:dyDescent="0.2">
      <c r="A163" s="1" t="s">
        <v>1290</v>
      </c>
      <c r="B163" s="1" t="str">
        <f t="shared" si="0"/>
        <v>A0</v>
      </c>
      <c r="C163" s="1" t="s">
        <v>1291</v>
      </c>
    </row>
    <row r="164" spans="1:3" ht="12.75" customHeight="1" x14ac:dyDescent="0.2">
      <c r="A164" s="1" t="s">
        <v>1292</v>
      </c>
      <c r="B164" s="1" t="str">
        <f t="shared" si="0"/>
        <v>A1</v>
      </c>
      <c r="C164" s="1" t="s">
        <v>1293</v>
      </c>
    </row>
    <row r="165" spans="1:3" ht="12.75" customHeight="1" x14ac:dyDescent="0.2">
      <c r="A165" s="1" t="s">
        <v>1294</v>
      </c>
      <c r="B165" s="1" t="str">
        <f t="shared" si="0"/>
        <v>A2</v>
      </c>
      <c r="C165" s="1" t="s">
        <v>1295</v>
      </c>
    </row>
    <row r="166" spans="1:3" ht="12.75" customHeight="1" x14ac:dyDescent="0.2">
      <c r="A166" s="1" t="s">
        <v>1296</v>
      </c>
      <c r="B166" s="1" t="str">
        <f t="shared" si="0"/>
        <v>A3</v>
      </c>
      <c r="C166" s="1" t="s">
        <v>1297</v>
      </c>
    </row>
    <row r="167" spans="1:3" ht="12.75" customHeight="1" x14ac:dyDescent="0.2">
      <c r="A167" s="1" t="s">
        <v>1298</v>
      </c>
      <c r="B167" s="1" t="str">
        <f t="shared" si="0"/>
        <v>A4</v>
      </c>
      <c r="C167" s="1" t="s">
        <v>1299</v>
      </c>
    </row>
    <row r="168" spans="1:3" ht="12.75" customHeight="1" x14ac:dyDescent="0.2">
      <c r="A168" s="1" t="s">
        <v>1300</v>
      </c>
      <c r="B168" s="1" t="str">
        <f t="shared" si="0"/>
        <v>A5</v>
      </c>
      <c r="C168" s="1" t="s">
        <v>1301</v>
      </c>
    </row>
    <row r="169" spans="1:3" ht="12.75" customHeight="1" x14ac:dyDescent="0.2">
      <c r="A169" s="1" t="s">
        <v>1302</v>
      </c>
      <c r="B169" s="1" t="str">
        <f t="shared" si="0"/>
        <v>A6</v>
      </c>
      <c r="C169" s="1" t="s">
        <v>1303</v>
      </c>
    </row>
    <row r="170" spans="1:3" ht="12.75" customHeight="1" x14ac:dyDescent="0.2">
      <c r="A170" s="1" t="s">
        <v>1304</v>
      </c>
      <c r="B170" s="1" t="str">
        <f t="shared" si="0"/>
        <v>A7</v>
      </c>
      <c r="C170" s="1" t="s">
        <v>1305</v>
      </c>
    </row>
    <row r="171" spans="1:3" ht="12.75" customHeight="1" x14ac:dyDescent="0.2">
      <c r="A171" s="1" t="s">
        <v>1306</v>
      </c>
      <c r="B171" s="1" t="str">
        <f t="shared" si="0"/>
        <v>A8</v>
      </c>
      <c r="C171" s="1" t="s">
        <v>1307</v>
      </c>
    </row>
    <row r="172" spans="1:3" ht="12.75" customHeight="1" x14ac:dyDescent="0.2">
      <c r="A172" s="1" t="s">
        <v>1308</v>
      </c>
      <c r="B172" s="1" t="str">
        <f t="shared" si="0"/>
        <v>A9</v>
      </c>
      <c r="C172" s="1" t="s">
        <v>1309</v>
      </c>
    </row>
    <row r="173" spans="1:3" ht="12.75" customHeight="1" x14ac:dyDescent="0.2">
      <c r="A173" s="1" t="s">
        <v>1310</v>
      </c>
      <c r="B173" s="1" t="str">
        <f t="shared" si="0"/>
        <v>AA</v>
      </c>
      <c r="C173" s="1" t="s">
        <v>1311</v>
      </c>
    </row>
    <row r="174" spans="1:3" ht="12.75" customHeight="1" x14ac:dyDescent="0.2">
      <c r="A174" s="1" t="s">
        <v>1312</v>
      </c>
      <c r="B174" s="1" t="str">
        <f t="shared" si="0"/>
        <v>AB</v>
      </c>
      <c r="C174" s="1" t="s">
        <v>1313</v>
      </c>
    </row>
    <row r="175" spans="1:3" ht="12.75" customHeight="1" x14ac:dyDescent="0.2">
      <c r="A175" s="1" t="s">
        <v>1314</v>
      </c>
      <c r="B175" s="1" t="str">
        <f t="shared" si="0"/>
        <v>AC</v>
      </c>
      <c r="C175" s="1" t="s">
        <v>1315</v>
      </c>
    </row>
    <row r="176" spans="1:3" ht="12.75" customHeight="1" x14ac:dyDescent="0.2">
      <c r="A176" s="1" t="s">
        <v>1316</v>
      </c>
      <c r="B176" s="1" t="str">
        <f t="shared" si="0"/>
        <v>AD</v>
      </c>
      <c r="C176" s="1" t="s">
        <v>1317</v>
      </c>
    </row>
    <row r="177" spans="1:3" ht="12.75" customHeight="1" x14ac:dyDescent="0.2">
      <c r="A177" s="1" t="s">
        <v>1318</v>
      </c>
      <c r="B177" s="1" t="str">
        <f t="shared" si="0"/>
        <v>AE</v>
      </c>
      <c r="C177" s="1" t="s">
        <v>1319</v>
      </c>
    </row>
    <row r="178" spans="1:3" ht="12.75" customHeight="1" x14ac:dyDescent="0.2">
      <c r="A178" s="1" t="s">
        <v>1320</v>
      </c>
      <c r="B178" s="1" t="str">
        <f t="shared" si="0"/>
        <v>AF</v>
      </c>
      <c r="C178" s="1" t="s">
        <v>1321</v>
      </c>
    </row>
    <row r="179" spans="1:3" ht="12.75" customHeight="1" x14ac:dyDescent="0.2">
      <c r="A179" s="1" t="s">
        <v>1322</v>
      </c>
      <c r="B179" s="1" t="str">
        <f t="shared" si="0"/>
        <v>B0</v>
      </c>
      <c r="C179" s="1" t="s">
        <v>1323</v>
      </c>
    </row>
    <row r="180" spans="1:3" ht="12.75" customHeight="1" x14ac:dyDescent="0.2">
      <c r="A180" s="1" t="s">
        <v>1324</v>
      </c>
      <c r="B180" s="1" t="str">
        <f t="shared" si="0"/>
        <v>B1</v>
      </c>
      <c r="C180" s="1" t="s">
        <v>1325</v>
      </c>
    </row>
    <row r="181" spans="1:3" ht="12.75" customHeight="1" x14ac:dyDescent="0.2">
      <c r="A181" s="1" t="s">
        <v>1326</v>
      </c>
      <c r="B181" s="1" t="str">
        <f t="shared" si="0"/>
        <v>B2</v>
      </c>
      <c r="C181" s="1" t="s">
        <v>1327</v>
      </c>
    </row>
    <row r="182" spans="1:3" ht="12.75" customHeight="1" x14ac:dyDescent="0.2">
      <c r="A182" s="1" t="s">
        <v>1328</v>
      </c>
      <c r="B182" s="1" t="str">
        <f t="shared" si="0"/>
        <v>B3</v>
      </c>
      <c r="C182" s="1" t="s">
        <v>1329</v>
      </c>
    </row>
    <row r="183" spans="1:3" ht="12.75" customHeight="1" x14ac:dyDescent="0.2">
      <c r="A183" s="1" t="s">
        <v>1330</v>
      </c>
      <c r="B183" s="1" t="str">
        <f t="shared" si="0"/>
        <v>B4</v>
      </c>
      <c r="C183" s="1" t="s">
        <v>1331</v>
      </c>
    </row>
    <row r="184" spans="1:3" ht="12.75" customHeight="1" x14ac:dyDescent="0.2">
      <c r="A184" s="1" t="s">
        <v>1332</v>
      </c>
      <c r="B184" s="1" t="str">
        <f t="shared" si="0"/>
        <v>B5</v>
      </c>
      <c r="C184" s="1" t="s">
        <v>1333</v>
      </c>
    </row>
    <row r="185" spans="1:3" ht="12.75" customHeight="1" x14ac:dyDescent="0.2">
      <c r="A185" s="1" t="s">
        <v>1334</v>
      </c>
      <c r="B185" s="1" t="str">
        <f t="shared" si="0"/>
        <v>B6</v>
      </c>
      <c r="C185" s="1" t="s">
        <v>1335</v>
      </c>
    </row>
    <row r="186" spans="1:3" ht="12.75" customHeight="1" x14ac:dyDescent="0.2">
      <c r="A186" s="1" t="s">
        <v>1336</v>
      </c>
      <c r="B186" s="1" t="str">
        <f t="shared" si="0"/>
        <v>B7</v>
      </c>
      <c r="C186" s="1" t="s">
        <v>1337</v>
      </c>
    </row>
    <row r="187" spans="1:3" ht="12.75" customHeight="1" x14ac:dyDescent="0.2">
      <c r="A187" s="1" t="s">
        <v>1338</v>
      </c>
      <c r="B187" s="1" t="str">
        <f t="shared" si="0"/>
        <v>B8</v>
      </c>
      <c r="C187" s="1" t="s">
        <v>1339</v>
      </c>
    </row>
    <row r="188" spans="1:3" ht="12.75" customHeight="1" x14ac:dyDescent="0.2">
      <c r="A188" s="1" t="s">
        <v>1340</v>
      </c>
      <c r="B188" s="1" t="str">
        <f t="shared" si="0"/>
        <v>B9</v>
      </c>
      <c r="C188" s="1" t="s">
        <v>1341</v>
      </c>
    </row>
    <row r="189" spans="1:3" ht="12.75" customHeight="1" x14ac:dyDescent="0.2">
      <c r="A189" s="1" t="s">
        <v>1342</v>
      </c>
      <c r="B189" s="1" t="str">
        <f t="shared" si="0"/>
        <v>BA</v>
      </c>
      <c r="C189" s="1" t="s">
        <v>1343</v>
      </c>
    </row>
    <row r="190" spans="1:3" ht="12.75" customHeight="1" x14ac:dyDescent="0.2">
      <c r="A190" s="1" t="s">
        <v>1344</v>
      </c>
      <c r="B190" s="1" t="str">
        <f t="shared" si="0"/>
        <v>BB</v>
      </c>
      <c r="C190" s="1" t="s">
        <v>1345</v>
      </c>
    </row>
    <row r="191" spans="1:3" ht="12.75" customHeight="1" x14ac:dyDescent="0.2">
      <c r="A191" s="1" t="s">
        <v>1346</v>
      </c>
      <c r="B191" s="1" t="str">
        <f t="shared" si="0"/>
        <v>BC</v>
      </c>
      <c r="C191" s="1" t="s">
        <v>1347</v>
      </c>
    </row>
    <row r="192" spans="1:3" ht="12.75" customHeight="1" x14ac:dyDescent="0.2">
      <c r="A192" s="1" t="s">
        <v>1348</v>
      </c>
      <c r="B192" s="1" t="str">
        <f t="shared" si="0"/>
        <v>BD</v>
      </c>
      <c r="C192" s="1" t="s">
        <v>1349</v>
      </c>
    </row>
    <row r="193" spans="1:3" ht="12.75" customHeight="1" x14ac:dyDescent="0.2">
      <c r="A193" s="1" t="s">
        <v>1350</v>
      </c>
      <c r="B193" s="1" t="str">
        <f t="shared" si="0"/>
        <v>BE</v>
      </c>
      <c r="C193" s="1" t="s">
        <v>1351</v>
      </c>
    </row>
    <row r="194" spans="1:3" ht="12.75" customHeight="1" x14ac:dyDescent="0.2">
      <c r="A194" s="1" t="s">
        <v>1352</v>
      </c>
      <c r="B194" s="1" t="str">
        <f t="shared" si="0"/>
        <v>BF</v>
      </c>
      <c r="C194" s="1" t="s">
        <v>1353</v>
      </c>
    </row>
    <row r="195" spans="1:3" ht="12.75" customHeight="1" x14ac:dyDescent="0.2">
      <c r="A195" s="1" t="s">
        <v>1354</v>
      </c>
      <c r="B195" s="1" t="str">
        <f t="shared" si="0"/>
        <v>C0</v>
      </c>
      <c r="C195" s="1" t="s">
        <v>1355</v>
      </c>
    </row>
    <row r="196" spans="1:3" ht="12.75" customHeight="1" x14ac:dyDescent="0.2">
      <c r="A196" s="1" t="s">
        <v>1356</v>
      </c>
      <c r="B196" s="1" t="str">
        <f t="shared" si="0"/>
        <v>C1</v>
      </c>
      <c r="C196" s="1" t="s">
        <v>1357</v>
      </c>
    </row>
    <row r="197" spans="1:3" ht="12.75" customHeight="1" x14ac:dyDescent="0.2">
      <c r="A197" s="1" t="s">
        <v>1358</v>
      </c>
      <c r="B197" s="1" t="str">
        <f t="shared" si="0"/>
        <v>C2</v>
      </c>
      <c r="C197" s="1" t="s">
        <v>1359</v>
      </c>
    </row>
    <row r="198" spans="1:3" ht="12.75" customHeight="1" x14ac:dyDescent="0.2">
      <c r="A198" s="1" t="s">
        <v>1360</v>
      </c>
      <c r="B198" s="1" t="str">
        <f t="shared" si="0"/>
        <v>C3</v>
      </c>
      <c r="C198" s="1" t="s">
        <v>1361</v>
      </c>
    </row>
    <row r="199" spans="1:3" ht="12.75" customHeight="1" x14ac:dyDescent="0.2">
      <c r="A199" s="1" t="s">
        <v>1362</v>
      </c>
      <c r="B199" s="1" t="str">
        <f t="shared" si="0"/>
        <v>C4</v>
      </c>
      <c r="C199" s="1" t="s">
        <v>1363</v>
      </c>
    </row>
    <row r="200" spans="1:3" ht="12.75" customHeight="1" x14ac:dyDescent="0.2">
      <c r="A200" s="1" t="s">
        <v>1364</v>
      </c>
      <c r="B200" s="1" t="str">
        <f t="shared" si="0"/>
        <v>C5</v>
      </c>
      <c r="C200" s="1" t="s">
        <v>1365</v>
      </c>
    </row>
    <row r="201" spans="1:3" ht="12.75" customHeight="1" x14ac:dyDescent="0.2">
      <c r="A201" s="1" t="s">
        <v>1366</v>
      </c>
      <c r="B201" s="1" t="str">
        <f t="shared" si="0"/>
        <v>C6</v>
      </c>
      <c r="C201" s="1" t="s">
        <v>1367</v>
      </c>
    </row>
    <row r="202" spans="1:3" ht="12.75" customHeight="1" x14ac:dyDescent="0.2">
      <c r="A202" s="1" t="s">
        <v>1368</v>
      </c>
      <c r="B202" s="1" t="str">
        <f t="shared" si="0"/>
        <v>C7</v>
      </c>
      <c r="C202" s="1" t="s">
        <v>1369</v>
      </c>
    </row>
    <row r="203" spans="1:3" ht="12.75" customHeight="1" x14ac:dyDescent="0.2">
      <c r="A203" s="1" t="s">
        <v>1370</v>
      </c>
      <c r="B203" s="1" t="str">
        <f t="shared" si="0"/>
        <v>C8</v>
      </c>
      <c r="C203" s="1" t="s">
        <v>1371</v>
      </c>
    </row>
    <row r="204" spans="1:3" ht="12.75" customHeight="1" x14ac:dyDescent="0.2">
      <c r="A204" s="1" t="s">
        <v>1372</v>
      </c>
      <c r="B204" s="1" t="str">
        <f t="shared" si="0"/>
        <v>C9</v>
      </c>
      <c r="C204" s="1" t="s">
        <v>1373</v>
      </c>
    </row>
    <row r="205" spans="1:3" ht="12.75" customHeight="1" x14ac:dyDescent="0.2">
      <c r="A205" s="1" t="s">
        <v>1374</v>
      </c>
      <c r="B205" s="1" t="str">
        <f t="shared" si="0"/>
        <v>CA</v>
      </c>
      <c r="C205" s="1" t="s">
        <v>1375</v>
      </c>
    </row>
    <row r="206" spans="1:3" ht="12.75" customHeight="1" x14ac:dyDescent="0.2">
      <c r="A206" s="1" t="s">
        <v>1376</v>
      </c>
      <c r="B206" s="1" t="str">
        <f t="shared" si="0"/>
        <v>CB</v>
      </c>
      <c r="C206" s="1" t="s">
        <v>1377</v>
      </c>
    </row>
    <row r="207" spans="1:3" ht="12.75" customHeight="1" x14ac:dyDescent="0.2">
      <c r="A207" s="1" t="s">
        <v>1378</v>
      </c>
      <c r="B207" s="1" t="str">
        <f t="shared" si="0"/>
        <v>CC</v>
      </c>
      <c r="C207" s="1" t="s">
        <v>1379</v>
      </c>
    </row>
    <row r="208" spans="1:3" ht="12.75" customHeight="1" x14ac:dyDescent="0.2">
      <c r="A208" s="1" t="s">
        <v>1380</v>
      </c>
      <c r="B208" s="1" t="str">
        <f t="shared" si="0"/>
        <v>CD</v>
      </c>
      <c r="C208" s="1" t="s">
        <v>1381</v>
      </c>
    </row>
    <row r="209" spans="1:3" ht="12.75" customHeight="1" x14ac:dyDescent="0.2">
      <c r="A209" s="1" t="s">
        <v>1382</v>
      </c>
      <c r="B209" s="1" t="str">
        <f t="shared" si="0"/>
        <v>CE</v>
      </c>
      <c r="C209" s="1" t="s">
        <v>1383</v>
      </c>
    </row>
    <row r="210" spans="1:3" ht="12.75" customHeight="1" x14ac:dyDescent="0.2">
      <c r="A210" s="1" t="s">
        <v>1384</v>
      </c>
      <c r="B210" s="1" t="str">
        <f t="shared" si="0"/>
        <v>CF</v>
      </c>
      <c r="C210" s="1" t="s">
        <v>1385</v>
      </c>
    </row>
    <row r="211" spans="1:3" ht="12.75" customHeight="1" x14ac:dyDescent="0.2">
      <c r="A211" s="1" t="s">
        <v>1386</v>
      </c>
      <c r="B211" s="1" t="str">
        <f t="shared" si="0"/>
        <v>D0</v>
      </c>
      <c r="C211" s="1" t="s">
        <v>1387</v>
      </c>
    </row>
    <row r="212" spans="1:3" ht="12.75" customHeight="1" x14ac:dyDescent="0.2">
      <c r="A212" s="1" t="s">
        <v>1388</v>
      </c>
      <c r="B212" s="1" t="str">
        <f t="shared" si="0"/>
        <v>D1</v>
      </c>
      <c r="C212" s="1" t="s">
        <v>1389</v>
      </c>
    </row>
    <row r="213" spans="1:3" ht="12.75" customHeight="1" x14ac:dyDescent="0.2">
      <c r="A213" s="1" t="s">
        <v>1390</v>
      </c>
      <c r="B213" s="1" t="str">
        <f t="shared" si="0"/>
        <v>D2</v>
      </c>
      <c r="C213" s="1" t="s">
        <v>1391</v>
      </c>
    </row>
    <row r="214" spans="1:3" ht="12.75" customHeight="1" x14ac:dyDescent="0.2">
      <c r="A214" s="1" t="s">
        <v>1392</v>
      </c>
      <c r="B214" s="1" t="str">
        <f t="shared" si="0"/>
        <v>D3</v>
      </c>
      <c r="C214" s="1" t="s">
        <v>1393</v>
      </c>
    </row>
    <row r="215" spans="1:3" ht="12.75" customHeight="1" x14ac:dyDescent="0.2">
      <c r="A215" s="1" t="s">
        <v>1394</v>
      </c>
      <c r="B215" s="1" t="str">
        <f t="shared" si="0"/>
        <v>D4</v>
      </c>
      <c r="C215" s="1" t="s">
        <v>1395</v>
      </c>
    </row>
    <row r="216" spans="1:3" ht="12.75" customHeight="1" x14ac:dyDescent="0.2">
      <c r="A216" s="1" t="s">
        <v>1396</v>
      </c>
      <c r="B216" s="1" t="str">
        <f t="shared" si="0"/>
        <v>D5</v>
      </c>
      <c r="C216" s="1" t="s">
        <v>1397</v>
      </c>
    </row>
    <row r="217" spans="1:3" ht="12.75" customHeight="1" x14ac:dyDescent="0.2">
      <c r="A217" s="1" t="s">
        <v>1398</v>
      </c>
      <c r="B217" s="1" t="str">
        <f t="shared" si="0"/>
        <v>D6</v>
      </c>
      <c r="C217" s="1" t="s">
        <v>1399</v>
      </c>
    </row>
    <row r="218" spans="1:3" ht="12.75" customHeight="1" x14ac:dyDescent="0.2">
      <c r="A218" s="1" t="s">
        <v>1400</v>
      </c>
      <c r="B218" s="1" t="str">
        <f t="shared" si="0"/>
        <v>D7</v>
      </c>
      <c r="C218" s="1" t="s">
        <v>1401</v>
      </c>
    </row>
    <row r="219" spans="1:3" ht="12.75" customHeight="1" x14ac:dyDescent="0.2">
      <c r="A219" s="1" t="s">
        <v>1402</v>
      </c>
      <c r="B219" s="1" t="str">
        <f t="shared" si="0"/>
        <v>D8</v>
      </c>
      <c r="C219" s="1" t="s">
        <v>1403</v>
      </c>
    </row>
    <row r="220" spans="1:3" ht="12.75" customHeight="1" x14ac:dyDescent="0.2">
      <c r="A220" s="1" t="s">
        <v>1404</v>
      </c>
      <c r="B220" s="1" t="str">
        <f t="shared" si="0"/>
        <v>D9</v>
      </c>
      <c r="C220" s="1" t="s">
        <v>1405</v>
      </c>
    </row>
    <row r="221" spans="1:3" ht="12.75" customHeight="1" x14ac:dyDescent="0.2">
      <c r="A221" s="1" t="s">
        <v>1406</v>
      </c>
      <c r="B221" s="1" t="str">
        <f t="shared" si="0"/>
        <v>DA</v>
      </c>
      <c r="C221" s="1" t="s">
        <v>1407</v>
      </c>
    </row>
    <row r="222" spans="1:3" ht="12.75" customHeight="1" x14ac:dyDescent="0.2">
      <c r="A222" s="1" t="s">
        <v>1408</v>
      </c>
      <c r="B222" s="1" t="str">
        <f t="shared" si="0"/>
        <v>DB</v>
      </c>
      <c r="C222" s="1" t="s">
        <v>1409</v>
      </c>
    </row>
    <row r="223" spans="1:3" ht="12.75" customHeight="1" x14ac:dyDescent="0.2">
      <c r="A223" s="1" t="s">
        <v>1410</v>
      </c>
      <c r="B223" s="1" t="str">
        <f t="shared" si="0"/>
        <v>DC</v>
      </c>
      <c r="C223" s="1" t="s">
        <v>1411</v>
      </c>
    </row>
    <row r="224" spans="1:3" ht="12.75" customHeight="1" x14ac:dyDescent="0.2">
      <c r="A224" s="1" t="s">
        <v>1412</v>
      </c>
      <c r="B224" s="1" t="str">
        <f t="shared" si="0"/>
        <v>DD</v>
      </c>
      <c r="C224" s="1" t="s">
        <v>1413</v>
      </c>
    </row>
    <row r="225" spans="1:3" ht="12.75" customHeight="1" x14ac:dyDescent="0.2">
      <c r="A225" s="1" t="s">
        <v>1414</v>
      </c>
      <c r="B225" s="1" t="str">
        <f t="shared" si="0"/>
        <v>DE</v>
      </c>
      <c r="C225" s="1" t="s">
        <v>1415</v>
      </c>
    </row>
    <row r="226" spans="1:3" ht="12.75" customHeight="1" x14ac:dyDescent="0.2">
      <c r="A226" s="1" t="s">
        <v>1416</v>
      </c>
      <c r="B226" s="1" t="str">
        <f t="shared" si="0"/>
        <v>DF</v>
      </c>
      <c r="C226" s="1" t="s">
        <v>1417</v>
      </c>
    </row>
    <row r="227" spans="1:3" ht="12.75" customHeight="1" x14ac:dyDescent="0.2">
      <c r="A227" s="1" t="s">
        <v>1418</v>
      </c>
      <c r="B227" s="1" t="str">
        <f t="shared" si="0"/>
        <v>E0</v>
      </c>
      <c r="C227" s="1" t="s">
        <v>1419</v>
      </c>
    </row>
    <row r="228" spans="1:3" ht="12.75" customHeight="1" x14ac:dyDescent="0.2">
      <c r="A228" s="1" t="s">
        <v>1420</v>
      </c>
      <c r="B228" s="1" t="str">
        <f t="shared" si="0"/>
        <v>E1</v>
      </c>
      <c r="C228" s="1" t="s">
        <v>1421</v>
      </c>
    </row>
    <row r="229" spans="1:3" ht="12.75" customHeight="1" x14ac:dyDescent="0.2">
      <c r="A229" s="1" t="s">
        <v>1422</v>
      </c>
      <c r="B229" s="1" t="str">
        <f t="shared" si="0"/>
        <v>E2</v>
      </c>
      <c r="C229" s="1" t="s">
        <v>1423</v>
      </c>
    </row>
    <row r="230" spans="1:3" ht="12.75" customHeight="1" x14ac:dyDescent="0.2">
      <c r="A230" s="1" t="s">
        <v>1424</v>
      </c>
      <c r="B230" s="1" t="str">
        <f t="shared" si="0"/>
        <v>E3</v>
      </c>
      <c r="C230" s="1" t="s">
        <v>1425</v>
      </c>
    </row>
    <row r="231" spans="1:3" ht="12.75" customHeight="1" x14ac:dyDescent="0.2">
      <c r="A231" s="1" t="s">
        <v>1426</v>
      </c>
      <c r="B231" s="1" t="str">
        <f t="shared" si="0"/>
        <v>E4</v>
      </c>
      <c r="C231" s="1" t="s">
        <v>1427</v>
      </c>
    </row>
    <row r="232" spans="1:3" ht="12.75" customHeight="1" x14ac:dyDescent="0.2">
      <c r="A232" s="1" t="s">
        <v>1428</v>
      </c>
      <c r="B232" s="1" t="str">
        <f t="shared" si="0"/>
        <v>E5</v>
      </c>
      <c r="C232" s="1" t="s">
        <v>1429</v>
      </c>
    </row>
    <row r="233" spans="1:3" ht="12.75" customHeight="1" x14ac:dyDescent="0.2">
      <c r="A233" s="1" t="s">
        <v>1430</v>
      </c>
      <c r="B233" s="1" t="str">
        <f t="shared" si="0"/>
        <v>E6</v>
      </c>
      <c r="C233" s="1" t="s">
        <v>1431</v>
      </c>
    </row>
    <row r="234" spans="1:3" ht="12.75" customHeight="1" x14ac:dyDescent="0.2">
      <c r="A234" s="1" t="s">
        <v>1432</v>
      </c>
      <c r="B234" s="1" t="str">
        <f t="shared" si="0"/>
        <v>E7</v>
      </c>
      <c r="C234" s="1" t="s">
        <v>1433</v>
      </c>
    </row>
    <row r="235" spans="1:3" ht="12.75" customHeight="1" x14ac:dyDescent="0.2">
      <c r="A235" s="1" t="s">
        <v>1434</v>
      </c>
      <c r="B235" s="1" t="str">
        <f t="shared" si="0"/>
        <v>E8</v>
      </c>
      <c r="C235" s="1" t="s">
        <v>1435</v>
      </c>
    </row>
    <row r="236" spans="1:3" ht="12.75" customHeight="1" x14ac:dyDescent="0.2">
      <c r="A236" s="1" t="s">
        <v>1436</v>
      </c>
      <c r="B236" s="1" t="str">
        <f t="shared" si="0"/>
        <v>E9</v>
      </c>
      <c r="C236" s="1" t="s">
        <v>1437</v>
      </c>
    </row>
    <row r="237" spans="1:3" ht="12.75" customHeight="1" x14ac:dyDescent="0.2">
      <c r="A237" s="1" t="s">
        <v>1438</v>
      </c>
      <c r="B237" s="1" t="str">
        <f t="shared" si="0"/>
        <v>EA</v>
      </c>
      <c r="C237" s="1" t="s">
        <v>1439</v>
      </c>
    </row>
    <row r="238" spans="1:3" ht="12.75" customHeight="1" x14ac:dyDescent="0.2">
      <c r="A238" s="1" t="s">
        <v>1440</v>
      </c>
      <c r="B238" s="1" t="str">
        <f t="shared" si="0"/>
        <v>EB</v>
      </c>
      <c r="C238" s="1" t="s">
        <v>1441</v>
      </c>
    </row>
    <row r="239" spans="1:3" ht="12.75" customHeight="1" x14ac:dyDescent="0.2">
      <c r="A239" s="1" t="s">
        <v>1442</v>
      </c>
      <c r="B239" s="1" t="str">
        <f t="shared" si="0"/>
        <v>EC</v>
      </c>
      <c r="C239" s="1" t="s">
        <v>1443</v>
      </c>
    </row>
    <row r="240" spans="1:3" ht="12.75" customHeight="1" x14ac:dyDescent="0.2">
      <c r="A240" s="1" t="s">
        <v>1444</v>
      </c>
      <c r="B240" s="1" t="str">
        <f t="shared" si="0"/>
        <v>ED</v>
      </c>
      <c r="C240" s="1" t="s">
        <v>1445</v>
      </c>
    </row>
    <row r="241" spans="1:3" ht="12.75" customHeight="1" x14ac:dyDescent="0.2">
      <c r="A241" s="1" t="s">
        <v>1446</v>
      </c>
      <c r="B241" s="1" t="str">
        <f t="shared" si="0"/>
        <v>EE</v>
      </c>
      <c r="C241" s="1" t="s">
        <v>1447</v>
      </c>
    </row>
    <row r="242" spans="1:3" ht="12.75" customHeight="1" x14ac:dyDescent="0.2">
      <c r="A242" s="1" t="s">
        <v>1448</v>
      </c>
      <c r="B242" s="1" t="str">
        <f t="shared" si="0"/>
        <v>EF</v>
      </c>
      <c r="C242" s="1" t="s">
        <v>1449</v>
      </c>
    </row>
    <row r="243" spans="1:3" ht="12.75" customHeight="1" x14ac:dyDescent="0.2">
      <c r="A243" s="1" t="s">
        <v>1450</v>
      </c>
      <c r="B243" s="1" t="str">
        <f t="shared" si="0"/>
        <v>F0</v>
      </c>
      <c r="C243" s="1" t="s">
        <v>1451</v>
      </c>
    </row>
    <row r="244" spans="1:3" ht="12.75" customHeight="1" x14ac:dyDescent="0.2">
      <c r="A244" s="1" t="s">
        <v>1452</v>
      </c>
      <c r="B244" s="1" t="str">
        <f t="shared" si="0"/>
        <v>F1</v>
      </c>
      <c r="C244" s="1" t="s">
        <v>1453</v>
      </c>
    </row>
    <row r="245" spans="1:3" ht="12.75" customHeight="1" x14ac:dyDescent="0.2">
      <c r="A245" s="1" t="s">
        <v>1454</v>
      </c>
      <c r="B245" s="1" t="str">
        <f t="shared" si="0"/>
        <v>F2</v>
      </c>
      <c r="C245" s="1" t="s">
        <v>1455</v>
      </c>
    </row>
    <row r="246" spans="1:3" ht="12.75" customHeight="1" x14ac:dyDescent="0.2">
      <c r="A246" s="1" t="s">
        <v>1456</v>
      </c>
      <c r="B246" s="1" t="str">
        <f t="shared" si="0"/>
        <v>F3</v>
      </c>
      <c r="C246" s="1" t="s">
        <v>1457</v>
      </c>
    </row>
    <row r="247" spans="1:3" ht="12.75" customHeight="1" x14ac:dyDescent="0.2">
      <c r="A247" s="1" t="s">
        <v>1458</v>
      </c>
      <c r="B247" s="1" t="str">
        <f t="shared" si="0"/>
        <v>F4</v>
      </c>
      <c r="C247" s="1" t="s">
        <v>1459</v>
      </c>
    </row>
    <row r="248" spans="1:3" ht="12.75" customHeight="1" x14ac:dyDescent="0.2">
      <c r="A248" s="1" t="s">
        <v>1460</v>
      </c>
      <c r="B248" s="1" t="str">
        <f t="shared" si="0"/>
        <v>F5</v>
      </c>
      <c r="C248" s="1" t="s">
        <v>1461</v>
      </c>
    </row>
    <row r="249" spans="1:3" ht="12.75" customHeight="1" x14ac:dyDescent="0.2">
      <c r="A249" s="1" t="s">
        <v>1462</v>
      </c>
      <c r="B249" s="1" t="str">
        <f t="shared" si="0"/>
        <v>F6</v>
      </c>
      <c r="C249" s="1" t="s">
        <v>1463</v>
      </c>
    </row>
    <row r="250" spans="1:3" ht="12.75" customHeight="1" x14ac:dyDescent="0.2">
      <c r="A250" s="1" t="s">
        <v>1464</v>
      </c>
      <c r="B250" s="1" t="str">
        <f t="shared" si="0"/>
        <v>F7</v>
      </c>
      <c r="C250" s="1" t="s">
        <v>1465</v>
      </c>
    </row>
    <row r="251" spans="1:3" ht="12.75" customHeight="1" x14ac:dyDescent="0.2">
      <c r="A251" s="1" t="s">
        <v>1466</v>
      </c>
      <c r="B251" s="1" t="str">
        <f t="shared" si="0"/>
        <v>F8</v>
      </c>
      <c r="C251" s="1" t="s">
        <v>1467</v>
      </c>
    </row>
    <row r="252" spans="1:3" ht="12.75" customHeight="1" x14ac:dyDescent="0.2">
      <c r="A252" s="1" t="s">
        <v>1468</v>
      </c>
      <c r="B252" s="1" t="str">
        <f t="shared" si="0"/>
        <v>F9</v>
      </c>
      <c r="C252" s="1" t="s">
        <v>1469</v>
      </c>
    </row>
    <row r="253" spans="1:3" ht="12.75" customHeight="1" x14ac:dyDescent="0.2">
      <c r="A253" s="1" t="s">
        <v>1470</v>
      </c>
      <c r="B253" s="1" t="str">
        <f t="shared" si="0"/>
        <v>FA</v>
      </c>
      <c r="C253" s="1" t="s">
        <v>1471</v>
      </c>
    </row>
    <row r="254" spans="1:3" ht="12.75" customHeight="1" x14ac:dyDescent="0.2">
      <c r="A254" s="1" t="s">
        <v>1472</v>
      </c>
      <c r="B254" s="1" t="str">
        <f t="shared" si="0"/>
        <v>FB</v>
      </c>
      <c r="C254" s="1" t="s">
        <v>1473</v>
      </c>
    </row>
    <row r="255" spans="1:3" ht="12.75" customHeight="1" x14ac:dyDescent="0.2">
      <c r="A255" s="1" t="s">
        <v>1474</v>
      </c>
      <c r="B255" s="1" t="str">
        <f t="shared" si="0"/>
        <v>FC</v>
      </c>
      <c r="C255" s="1" t="s">
        <v>1475</v>
      </c>
    </row>
    <row r="256" spans="1:3" ht="12.75" customHeight="1" x14ac:dyDescent="0.2">
      <c r="A256" s="1" t="s">
        <v>1476</v>
      </c>
      <c r="B256" s="1" t="str">
        <f t="shared" si="0"/>
        <v>FD</v>
      </c>
      <c r="C256" s="1" t="s">
        <v>1477</v>
      </c>
    </row>
    <row r="257" spans="1:3" ht="12.75" customHeight="1" x14ac:dyDescent="0.2">
      <c r="A257" s="1" t="s">
        <v>1478</v>
      </c>
      <c r="B257" s="1" t="str">
        <f t="shared" si="0"/>
        <v>FE</v>
      </c>
      <c r="C257" s="1" t="s">
        <v>1479</v>
      </c>
    </row>
    <row r="258" spans="1:3" ht="12.75" customHeight="1" x14ac:dyDescent="0.2">
      <c r="A258" s="1" t="s">
        <v>1480</v>
      </c>
      <c r="B258" s="1" t="str">
        <f t="shared" si="0"/>
        <v>FF</v>
      </c>
      <c r="C258" s="1" t="s">
        <v>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Ours</vt:lpstr>
      <vt:lpstr>Codes</vt:lpstr>
      <vt:lpstr>Format</vt:lpstr>
      <vt:lpstr>Radio Sends</vt:lpstr>
      <vt:lpstr>Misc</vt:lpstr>
      <vt:lpstr>E46 codes tested</vt:lpstr>
      <vt:lpstr>Calculations</vt:lpstr>
      <vt:lpstr>Wheel</vt:lpstr>
      <vt:lpstr>Nave coder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 Madžar</dc:creator>
  <cp:lastModifiedBy>Mario Madžar</cp:lastModifiedBy>
  <dcterms:created xsi:type="dcterms:W3CDTF">2016-02-05T14:07:51Z</dcterms:created>
  <dcterms:modified xsi:type="dcterms:W3CDTF">2016-02-05T14:07:52Z</dcterms:modified>
</cp:coreProperties>
</file>